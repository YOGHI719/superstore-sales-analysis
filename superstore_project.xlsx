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E2E4910E-0621-4FAB-8CAB-1D1FC5EC31D3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2" r:id="rId1"/>
    <sheet name="Superstore Orders" sheetId="1" r:id="rId2"/>
  </sheets>
  <calcPr calcId="191029"/>
  <pivotCaches>
    <pivotCache cacheId="4" r:id="rId3"/>
  </pivotCaches>
</workbook>
</file>

<file path=xl/calcChain.xml><?xml version="1.0" encoding="utf-8"?>
<calcChain xmlns="http://schemas.openxmlformats.org/spreadsheetml/2006/main">
  <c r="Q4" i="1" l="1"/>
  <c r="Q3" i="1"/>
  <c r="Q2" i="1"/>
</calcChain>
</file>

<file path=xl/sharedStrings.xml><?xml version="1.0" encoding="utf-8"?>
<sst xmlns="http://schemas.openxmlformats.org/spreadsheetml/2006/main" count="1221" uniqueCount="178">
  <si>
    <t>OrderID</t>
  </si>
  <si>
    <t>OrderDate</t>
  </si>
  <si>
    <t>Region</t>
  </si>
  <si>
    <t>City</t>
  </si>
  <si>
    <t>Category</t>
  </si>
  <si>
    <t>Product</t>
  </si>
  <si>
    <t>Segment</t>
  </si>
  <si>
    <t>SalesRep</t>
  </si>
  <si>
    <t>ShipMode</t>
  </si>
  <si>
    <t>Quantity</t>
  </si>
  <si>
    <t>UnitPrice</t>
  </si>
  <si>
    <t>Discount</t>
  </si>
  <si>
    <t>Sales</t>
  </si>
  <si>
    <t>Profit</t>
  </si>
  <si>
    <t>2026-01-01</t>
  </si>
  <si>
    <t>South</t>
  </si>
  <si>
    <t>Chennai</t>
  </si>
  <si>
    <t>Electronics</t>
  </si>
  <si>
    <t>Headphones</t>
  </si>
  <si>
    <t>Home Office</t>
  </si>
  <si>
    <t>Vikram</t>
  </si>
  <si>
    <t>Same Day</t>
  </si>
  <si>
    <t>West</t>
  </si>
  <si>
    <t>Pune</t>
  </si>
  <si>
    <t>Clothing</t>
  </si>
  <si>
    <t>Jeans</t>
  </si>
  <si>
    <t>Corporate</t>
  </si>
  <si>
    <t>Neha</t>
  </si>
  <si>
    <t>2026-01-04</t>
  </si>
  <si>
    <t>East</t>
  </si>
  <si>
    <t>Patna</t>
  </si>
  <si>
    <t>Shoes</t>
  </si>
  <si>
    <t>Pooja</t>
  </si>
  <si>
    <t>Express</t>
  </si>
  <si>
    <t>2026-01-05</t>
  </si>
  <si>
    <t>North</t>
  </si>
  <si>
    <t>Lucknow</t>
  </si>
  <si>
    <t>Jacket</t>
  </si>
  <si>
    <t>Sanjay</t>
  </si>
  <si>
    <t>Standard</t>
  </si>
  <si>
    <t>2026-01-08</t>
  </si>
  <si>
    <t>Bhubaneswar</t>
  </si>
  <si>
    <t>Furniture</t>
  </si>
  <si>
    <t>Bookshelf</t>
  </si>
  <si>
    <t>Anita</t>
  </si>
  <si>
    <t>2026-01-09</t>
  </si>
  <si>
    <t>Sofa</t>
  </si>
  <si>
    <t>2026-01-14</t>
  </si>
  <si>
    <t>Ahmedabad</t>
  </si>
  <si>
    <t>Consumer</t>
  </si>
  <si>
    <t>Stationery</t>
  </si>
  <si>
    <t>Backpack</t>
  </si>
  <si>
    <t>Rakesh</t>
  </si>
  <si>
    <t>2026-01-15</t>
  </si>
  <si>
    <t>Hyderabad</t>
  </si>
  <si>
    <t>Shirt</t>
  </si>
  <si>
    <t>2026-01-16</t>
  </si>
  <si>
    <t>2026-01-20</t>
  </si>
  <si>
    <t>Chandigarh</t>
  </si>
  <si>
    <t>2026-01-21</t>
  </si>
  <si>
    <t>Chair</t>
  </si>
  <si>
    <t>Laptop</t>
  </si>
  <si>
    <t>2026-01-23</t>
  </si>
  <si>
    <t>Mumbai</t>
  </si>
  <si>
    <t>2026-01-26</t>
  </si>
  <si>
    <t>2026-01-27</t>
  </si>
  <si>
    <t>Bangalore</t>
  </si>
  <si>
    <t>2026-01-30</t>
  </si>
  <si>
    <t>Notebook</t>
  </si>
  <si>
    <t>2026-01-31</t>
  </si>
  <si>
    <t>2026-02-02</t>
  </si>
  <si>
    <t>2026-02-03</t>
  </si>
  <si>
    <t>2026-02-04</t>
  </si>
  <si>
    <t>2026-02-05</t>
  </si>
  <si>
    <t>2026-02-07</t>
  </si>
  <si>
    <t>2026-02-11</t>
  </si>
  <si>
    <t>2026-02-13</t>
  </si>
  <si>
    <t>2026-02-20</t>
  </si>
  <si>
    <t>2026-02-28</t>
  </si>
  <si>
    <t>Table</t>
  </si>
  <si>
    <t>2026-03-02</t>
  </si>
  <si>
    <t>2026-03-04</t>
  </si>
  <si>
    <t>Kolkata</t>
  </si>
  <si>
    <t>2026-03-05</t>
  </si>
  <si>
    <t>Pen Set</t>
  </si>
  <si>
    <t>2026-03-06</t>
  </si>
  <si>
    <t>Mobile</t>
  </si>
  <si>
    <t>2026-03-10</t>
  </si>
  <si>
    <t>2026-03-11</t>
  </si>
  <si>
    <t>2026-03-12</t>
  </si>
  <si>
    <t>2026-03-16</t>
  </si>
  <si>
    <t>2026-03-17</t>
  </si>
  <si>
    <t>Delhi</t>
  </si>
  <si>
    <t>2026-03-20</t>
  </si>
  <si>
    <t>2026-03-26</t>
  </si>
  <si>
    <t>Diary</t>
  </si>
  <si>
    <t>Tablet</t>
  </si>
  <si>
    <t>2026-03-31</t>
  </si>
  <si>
    <t>2026-04-01</t>
  </si>
  <si>
    <t>2026-04-02</t>
  </si>
  <si>
    <t>2026-04-03</t>
  </si>
  <si>
    <t>2026-04-09</t>
  </si>
  <si>
    <t>2026-04-12</t>
  </si>
  <si>
    <t>2026-04-13</t>
  </si>
  <si>
    <t>2026-04-14</t>
  </si>
  <si>
    <t>2026-04-19</t>
  </si>
  <si>
    <t>2026-04-21</t>
  </si>
  <si>
    <t>2026-04-26</t>
  </si>
  <si>
    <t>2026-04-28</t>
  </si>
  <si>
    <t>2026-05-01</t>
  </si>
  <si>
    <t>2026-05-02</t>
  </si>
  <si>
    <t>2026-05-05</t>
  </si>
  <si>
    <t>2026-05-08</t>
  </si>
  <si>
    <t>2026-05-15</t>
  </si>
  <si>
    <t>2026-05-16</t>
  </si>
  <si>
    <t>2026-05-17</t>
  </si>
  <si>
    <t>2026-05-18</t>
  </si>
  <si>
    <t>2026-05-20</t>
  </si>
  <si>
    <t>2026-05-21</t>
  </si>
  <si>
    <t>2026-05-25</t>
  </si>
  <si>
    <t>2026-05-27</t>
  </si>
  <si>
    <t>2026-05-28</t>
  </si>
  <si>
    <t>2026-05-29</t>
  </si>
  <si>
    <t>2026-05-30</t>
  </si>
  <si>
    <t>2026-06-01</t>
  </si>
  <si>
    <t>2026-06-02</t>
  </si>
  <si>
    <t>2026-06-03</t>
  </si>
  <si>
    <t>2026-06-04</t>
  </si>
  <si>
    <t>2026-06-11</t>
  </si>
  <si>
    <t>2026-06-13</t>
  </si>
  <si>
    <t>2026-06-15</t>
  </si>
  <si>
    <t>2026-06-19</t>
  </si>
  <si>
    <t>2026-06-20</t>
  </si>
  <si>
    <t>2026-06-22</t>
  </si>
  <si>
    <t>2026-06-26</t>
  </si>
  <si>
    <t>2026-06-28</t>
  </si>
  <si>
    <t>2026-06-29</t>
  </si>
  <si>
    <t>2026-07-01</t>
  </si>
  <si>
    <t>2026-07-05</t>
  </si>
  <si>
    <t>2026-07-06</t>
  </si>
  <si>
    <t>2026-07-11</t>
  </si>
  <si>
    <t>2026-07-14</t>
  </si>
  <si>
    <t>2026-07-15</t>
  </si>
  <si>
    <t>2026-07-16</t>
  </si>
  <si>
    <t>2026-07-19</t>
  </si>
  <si>
    <t>2026-07-20</t>
  </si>
  <si>
    <t>2026-07-22</t>
  </si>
  <si>
    <t>2026-07-27</t>
  </si>
  <si>
    <t>2026-07-29</t>
  </si>
  <si>
    <t>2026-07-30</t>
  </si>
  <si>
    <t>2026-08-03</t>
  </si>
  <si>
    <t>2026-08-05</t>
  </si>
  <si>
    <t>2026-08-06</t>
  </si>
  <si>
    <t>2026-08-07</t>
  </si>
  <si>
    <t>2026-08-08</t>
  </si>
  <si>
    <t>2026-08-09</t>
  </si>
  <si>
    <t>2026-08-11</t>
  </si>
  <si>
    <t>2026-08-12</t>
  </si>
  <si>
    <t>2026-08-14</t>
  </si>
  <si>
    <t>2026-08-16</t>
  </si>
  <si>
    <t>2026-08-19</t>
  </si>
  <si>
    <t>2026-08-21</t>
  </si>
  <si>
    <t>2026-08-22</t>
  </si>
  <si>
    <t>2026-08-25</t>
  </si>
  <si>
    <t>2026-08-30</t>
  </si>
  <si>
    <t>2026-08-31</t>
  </si>
  <si>
    <t>2026-09-05</t>
  </si>
  <si>
    <t>2026-09-07</t>
  </si>
  <si>
    <t>2026-09-09</t>
  </si>
  <si>
    <t>2026-09-10</t>
  </si>
  <si>
    <t>2026-09-12</t>
  </si>
  <si>
    <t>2026-09-15</t>
  </si>
  <si>
    <t>2026-09-16</t>
  </si>
  <si>
    <t>2026-09-17</t>
  </si>
  <si>
    <t>2026-09-27</t>
  </si>
  <si>
    <t>Row Labels</t>
  </si>
  <si>
    <t>Grand Total</t>
  </si>
  <si>
    <t>Sum of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</si>
</sst>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2E5395"/>
        <bgColor rgb="FF2E539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2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6288.920947222221" createdVersion="8" refreshedVersion="8" minRefreshableVersion="3" recordCount="150" xr:uid="{3FEFCDEF-60E9-4C47-B8EE-8794387235E9}">
  <cacheSource type="worksheet">
    <worksheetSource ref="A1:N151" sheet="Superstore Orders"/>
  </cacheSource>
  <cacheFields count="14">
    <cacheField name="OrderID" numFmtId="0">
      <sharedItems containsSemiMixedTypes="0" containsString="0" containsNumber="1" containsInteger="1" minValue="1001" maxValue="1150"/>
    </cacheField>
    <cacheField name="OrderDate" numFmtId="0">
      <sharedItems/>
    </cacheField>
    <cacheField name="Region" numFmtId="0">
      <sharedItems count="4">
        <s v="South"/>
        <s v="West"/>
        <s v="East"/>
        <s v="North"/>
      </sharedItems>
    </cacheField>
    <cacheField name="City" numFmtId="0">
      <sharedItems/>
    </cacheField>
    <cacheField name="Category" numFmtId="0">
      <sharedItems count="4">
        <s v="Electronics"/>
        <s v="Clothing"/>
        <s v="Furniture"/>
        <s v="Stationery"/>
      </sharedItems>
    </cacheField>
    <cacheField name="Product" numFmtId="0">
      <sharedItems/>
    </cacheField>
    <cacheField name="Segment" numFmtId="0">
      <sharedItems/>
    </cacheField>
    <cacheField name="SalesRep" numFmtId="0">
      <sharedItems/>
    </cacheField>
    <cacheField name="ShipMode" numFmtId="0">
      <sharedItems/>
    </cacheField>
    <cacheField name="Quantity" numFmtId="0">
      <sharedItems containsSemiMixedTypes="0" containsString="0" containsNumber="1" containsInteger="1" minValue="1" maxValue="8"/>
    </cacheField>
    <cacheField name="UnitPrice" numFmtId="0">
      <sharedItems containsSemiMixedTypes="0" containsString="0" containsNumber="1" containsInteger="1" minValue="143" maxValue="58119"/>
    </cacheField>
    <cacheField name="Discount" numFmtId="0">
      <sharedItems containsSemiMixedTypes="0" containsString="0" containsNumber="1" minValue="0" maxValue="0.2"/>
    </cacheField>
    <cacheField name="Sales" numFmtId="0">
      <sharedItems containsSemiMixedTypes="0" containsString="0" containsNumber="1" containsInteger="1" minValue="218" maxValue="336454"/>
    </cacheField>
    <cacheField name="Profit" numFmtId="0">
      <sharedItems containsSemiMixedTypes="0" containsString="0" containsNumber="1" containsInteger="1" minValue="-15854" maxValue="9557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">
  <r>
    <n v="1009"/>
    <s v="2026-01-01"/>
    <x v="0"/>
    <s v="Chennai"/>
    <x v="0"/>
    <s v="Headphones"/>
    <s v="Home Office"/>
    <s v="Vikram"/>
    <s v="Same Day"/>
    <n v="3"/>
    <n v="41271"/>
    <n v="0.1"/>
    <n v="111432"/>
    <n v="25929"/>
  </r>
  <r>
    <n v="1029"/>
    <s v="2026-01-01"/>
    <x v="1"/>
    <s v="Pune"/>
    <x v="1"/>
    <s v="Jeans"/>
    <s v="Corporate"/>
    <s v="Neha"/>
    <s v="Same Day"/>
    <n v="4"/>
    <n v="2052"/>
    <n v="0.15"/>
    <n v="6977"/>
    <n v="2239"/>
  </r>
  <r>
    <n v="1036"/>
    <s v="2026-01-04"/>
    <x v="2"/>
    <s v="Patna"/>
    <x v="1"/>
    <s v="Shoes"/>
    <s v="Corporate"/>
    <s v="Pooja"/>
    <s v="Express"/>
    <n v="7"/>
    <n v="2220"/>
    <n v="0.2"/>
    <n v="12432"/>
    <n v="2800"/>
  </r>
  <r>
    <n v="1019"/>
    <s v="2026-01-05"/>
    <x v="3"/>
    <s v="Lucknow"/>
    <x v="1"/>
    <s v="Jacket"/>
    <s v="Corporate"/>
    <s v="Sanjay"/>
    <s v="Standard"/>
    <n v="4"/>
    <n v="1477"/>
    <n v="0.05"/>
    <n v="5613"/>
    <n v="501"/>
  </r>
  <r>
    <n v="1063"/>
    <s v="2026-01-08"/>
    <x v="2"/>
    <s v="Bhubaneswar"/>
    <x v="2"/>
    <s v="Bookshelf"/>
    <s v="Home Office"/>
    <s v="Anita"/>
    <s v="Express"/>
    <n v="1"/>
    <n v="19459"/>
    <n v="0.2"/>
    <n v="15567"/>
    <n v="1247"/>
  </r>
  <r>
    <n v="1107"/>
    <s v="2026-01-09"/>
    <x v="3"/>
    <s v="Lucknow"/>
    <x v="2"/>
    <s v="Sofa"/>
    <s v="Home Office"/>
    <s v="Sanjay"/>
    <s v="Same Day"/>
    <n v="2"/>
    <n v="10813"/>
    <n v="0.2"/>
    <n v="17301"/>
    <n v="-1504"/>
  </r>
  <r>
    <n v="1118"/>
    <s v="2026-01-14"/>
    <x v="1"/>
    <s v="Ahmedabad"/>
    <x v="0"/>
    <s v="Headphones"/>
    <s v="Consumer"/>
    <s v="Vikram"/>
    <s v="Express"/>
    <n v="5"/>
    <n v="18322"/>
    <n v="0.1"/>
    <n v="82449"/>
    <n v="9669"/>
  </r>
  <r>
    <n v="1131"/>
    <s v="2026-01-14"/>
    <x v="1"/>
    <s v="Ahmedabad"/>
    <x v="3"/>
    <s v="Backpack"/>
    <s v="Home Office"/>
    <s v="Rakesh"/>
    <s v="Same Day"/>
    <n v="8"/>
    <n v="1479"/>
    <n v="0"/>
    <n v="11832"/>
    <n v="4070"/>
  </r>
  <r>
    <n v="1122"/>
    <s v="2026-01-15"/>
    <x v="0"/>
    <s v="Hyderabad"/>
    <x v="1"/>
    <s v="Shirt"/>
    <s v="Home Office"/>
    <s v="Neha"/>
    <s v="Standard"/>
    <n v="3"/>
    <n v="1131"/>
    <n v="0.15"/>
    <n v="2884"/>
    <n v="684"/>
  </r>
  <r>
    <n v="1114"/>
    <s v="2026-01-16"/>
    <x v="1"/>
    <s v="Pune"/>
    <x v="0"/>
    <s v="Headphones"/>
    <s v="Home Office"/>
    <s v="Rakesh"/>
    <s v="Standard"/>
    <n v="7"/>
    <n v="25993"/>
    <n v="0.15"/>
    <n v="154658"/>
    <n v="37312"/>
  </r>
  <r>
    <n v="1138"/>
    <s v="2026-01-20"/>
    <x v="3"/>
    <s v="Chandigarh"/>
    <x v="2"/>
    <s v="Bookshelf"/>
    <s v="Home Office"/>
    <s v="Rakesh"/>
    <s v="Standard"/>
    <n v="8"/>
    <n v="24316"/>
    <n v="0"/>
    <n v="194528"/>
    <n v="-15854"/>
  </r>
  <r>
    <n v="1018"/>
    <s v="2026-01-21"/>
    <x v="2"/>
    <s v="Bhubaneswar"/>
    <x v="2"/>
    <s v="Chair"/>
    <s v="Consumer"/>
    <s v="Pooja"/>
    <s v="Same Day"/>
    <n v="2"/>
    <n v="5245"/>
    <n v="0.15"/>
    <n v="8916"/>
    <n v="2751"/>
  </r>
  <r>
    <n v="1129"/>
    <s v="2026-01-21"/>
    <x v="1"/>
    <s v="Ahmedabad"/>
    <x v="0"/>
    <s v="Laptop"/>
    <s v="Corporate"/>
    <s v="Pooja"/>
    <s v="Same Day"/>
    <n v="2"/>
    <n v="33814"/>
    <n v="0"/>
    <n v="67628"/>
    <n v="18698"/>
  </r>
  <r>
    <n v="1079"/>
    <s v="2026-01-23"/>
    <x v="1"/>
    <s v="Mumbai"/>
    <x v="2"/>
    <s v="Bookshelf"/>
    <s v="Home Office"/>
    <s v="Sanjay"/>
    <s v="Standard"/>
    <n v="2"/>
    <n v="5082"/>
    <n v="0.2"/>
    <n v="8131"/>
    <n v="1290"/>
  </r>
  <r>
    <n v="1017"/>
    <s v="2026-01-26"/>
    <x v="1"/>
    <s v="Pune"/>
    <x v="1"/>
    <s v="Shoes"/>
    <s v="Corporate"/>
    <s v="Rakesh"/>
    <s v="Standard"/>
    <n v="8"/>
    <n v="1715"/>
    <n v="0"/>
    <n v="13720"/>
    <n v="3070"/>
  </r>
  <r>
    <n v="1097"/>
    <s v="2026-01-27"/>
    <x v="0"/>
    <s v="Bangalore"/>
    <x v="2"/>
    <s v="Bookshelf"/>
    <s v="Corporate"/>
    <s v="Sanjay"/>
    <s v="Same Day"/>
    <n v="8"/>
    <n v="20129"/>
    <n v="0"/>
    <n v="161032"/>
    <n v="26064"/>
  </r>
  <r>
    <n v="1145"/>
    <s v="2026-01-30"/>
    <x v="1"/>
    <s v="Ahmedabad"/>
    <x v="3"/>
    <s v="Notebook"/>
    <s v="Corporate"/>
    <s v="Sanjay"/>
    <s v="Same Day"/>
    <n v="4"/>
    <n v="286"/>
    <n v="0.1"/>
    <n v="1030"/>
    <n v="-31"/>
  </r>
  <r>
    <n v="1012"/>
    <s v="2026-01-31"/>
    <x v="2"/>
    <s v="Bhubaneswar"/>
    <x v="3"/>
    <s v="Notebook"/>
    <s v="Consumer"/>
    <s v="Anita"/>
    <s v="Same Day"/>
    <n v="4"/>
    <n v="143"/>
    <n v="0.1"/>
    <n v="515"/>
    <n v="111"/>
  </r>
  <r>
    <n v="1035"/>
    <s v="2026-02-02"/>
    <x v="3"/>
    <s v="Chandigarh"/>
    <x v="1"/>
    <s v="Jeans"/>
    <s v="Home Office"/>
    <s v="Vikram"/>
    <s v="Standard"/>
    <n v="5"/>
    <n v="2712"/>
    <n v="0"/>
    <n v="13560"/>
    <n v="1292"/>
  </r>
  <r>
    <n v="1073"/>
    <s v="2026-02-02"/>
    <x v="1"/>
    <s v="Ahmedabad"/>
    <x v="1"/>
    <s v="Shoes"/>
    <s v="Consumer"/>
    <s v="Pooja"/>
    <s v="Same Day"/>
    <n v="6"/>
    <n v="2431"/>
    <n v="0.1"/>
    <n v="13127"/>
    <n v="4139"/>
  </r>
  <r>
    <n v="1049"/>
    <s v="2026-02-03"/>
    <x v="0"/>
    <s v="Hyderabad"/>
    <x v="3"/>
    <s v="Notebook"/>
    <s v="Corporate"/>
    <s v="Neha"/>
    <s v="Standard"/>
    <n v="1"/>
    <n v="1080"/>
    <n v="0.05"/>
    <n v="1026"/>
    <n v="156"/>
  </r>
  <r>
    <n v="1108"/>
    <s v="2026-02-04"/>
    <x v="0"/>
    <s v="Hyderabad"/>
    <x v="2"/>
    <s v="Sofa"/>
    <s v="Home Office"/>
    <s v="Anita"/>
    <s v="Express"/>
    <n v="7"/>
    <n v="23146"/>
    <n v="0.1"/>
    <n v="145820"/>
    <n v="25514"/>
  </r>
  <r>
    <n v="1149"/>
    <s v="2026-02-04"/>
    <x v="0"/>
    <s v="Chennai"/>
    <x v="1"/>
    <s v="Jeans"/>
    <s v="Consumer"/>
    <s v="Anita"/>
    <s v="Standard"/>
    <n v="5"/>
    <n v="631"/>
    <n v="0.05"/>
    <n v="2997"/>
    <n v="703"/>
  </r>
  <r>
    <n v="1146"/>
    <s v="2026-02-05"/>
    <x v="2"/>
    <s v="Bhubaneswar"/>
    <x v="1"/>
    <s v="Shirt"/>
    <s v="Home Office"/>
    <s v="Anita"/>
    <s v="Standard"/>
    <n v="7"/>
    <n v="1392"/>
    <n v="0"/>
    <n v="9744"/>
    <n v="620"/>
  </r>
  <r>
    <n v="1119"/>
    <s v="2026-02-07"/>
    <x v="1"/>
    <s v="Ahmedabad"/>
    <x v="1"/>
    <s v="Shoes"/>
    <s v="Corporate"/>
    <s v="Pooja"/>
    <s v="Express"/>
    <n v="3"/>
    <n v="769"/>
    <n v="0.05"/>
    <n v="2192"/>
    <n v="767"/>
  </r>
  <r>
    <n v="1051"/>
    <s v="2026-02-11"/>
    <x v="2"/>
    <s v="Patna"/>
    <x v="3"/>
    <s v="Backpack"/>
    <s v="Consumer"/>
    <s v="Rakesh"/>
    <s v="Express"/>
    <n v="7"/>
    <n v="1348"/>
    <n v="0.15"/>
    <n v="8021"/>
    <n v="640"/>
  </r>
  <r>
    <n v="1087"/>
    <s v="2026-02-11"/>
    <x v="2"/>
    <s v="Patna"/>
    <x v="3"/>
    <s v="Backpack"/>
    <s v="Consumer"/>
    <s v="Pooja"/>
    <s v="Same Day"/>
    <n v="3"/>
    <n v="1262"/>
    <n v="0.1"/>
    <n v="3407"/>
    <n v="-111"/>
  </r>
  <r>
    <n v="1030"/>
    <s v="2026-02-13"/>
    <x v="1"/>
    <s v="Pune"/>
    <x v="2"/>
    <s v="Bookshelf"/>
    <s v="Consumer"/>
    <s v="Rakesh"/>
    <s v="Same Day"/>
    <n v="6"/>
    <n v="17476"/>
    <n v="0"/>
    <n v="104856"/>
    <n v="21323"/>
  </r>
  <r>
    <n v="1014"/>
    <s v="2026-02-20"/>
    <x v="2"/>
    <s v="Patna"/>
    <x v="2"/>
    <s v="Chair"/>
    <s v="Home Office"/>
    <s v="Rakesh"/>
    <s v="Same Day"/>
    <n v="2"/>
    <n v="17124"/>
    <n v="0.05"/>
    <n v="32536"/>
    <n v="6185"/>
  </r>
  <r>
    <n v="1015"/>
    <s v="2026-02-20"/>
    <x v="3"/>
    <s v="Lucknow"/>
    <x v="1"/>
    <s v="Shirt"/>
    <s v="Consumer"/>
    <s v="Vikram"/>
    <s v="Express"/>
    <n v="4"/>
    <n v="2696"/>
    <n v="0"/>
    <n v="10784"/>
    <n v="1904"/>
  </r>
  <r>
    <n v="1040"/>
    <s v="2026-02-28"/>
    <x v="3"/>
    <s v="Chandigarh"/>
    <x v="2"/>
    <s v="Table"/>
    <s v="Consumer"/>
    <s v="Neha"/>
    <s v="Same Day"/>
    <n v="3"/>
    <n v="24936"/>
    <n v="0"/>
    <n v="74808"/>
    <n v="14177"/>
  </r>
  <r>
    <n v="1116"/>
    <s v="2026-03-02"/>
    <x v="3"/>
    <s v="Chandigarh"/>
    <x v="2"/>
    <s v="Sofa"/>
    <s v="Corporate"/>
    <s v="Pooja"/>
    <s v="Same Day"/>
    <n v="7"/>
    <n v="24284"/>
    <n v="0"/>
    <n v="169988"/>
    <n v="9821"/>
  </r>
  <r>
    <n v="1058"/>
    <s v="2026-03-04"/>
    <x v="2"/>
    <s v="Kolkata"/>
    <x v="2"/>
    <s v="Sofa"/>
    <s v="Home Office"/>
    <s v="Sanjay"/>
    <s v="Express"/>
    <n v="8"/>
    <n v="17484"/>
    <n v="0"/>
    <n v="139872"/>
    <n v="30040"/>
  </r>
  <r>
    <n v="1103"/>
    <s v="2026-03-05"/>
    <x v="2"/>
    <s v="Bhubaneswar"/>
    <x v="3"/>
    <s v="Pen Set"/>
    <s v="Home Office"/>
    <s v="Anita"/>
    <s v="Same Day"/>
    <n v="4"/>
    <n v="206"/>
    <n v="0.15"/>
    <n v="700"/>
    <n v="136"/>
  </r>
  <r>
    <n v="1010"/>
    <s v="2026-03-06"/>
    <x v="1"/>
    <s v="Pune"/>
    <x v="0"/>
    <s v="Mobile"/>
    <s v="Consumer"/>
    <s v="Sanjay"/>
    <s v="Same Day"/>
    <n v="6"/>
    <n v="28153"/>
    <n v="0.1"/>
    <n v="152026"/>
    <n v="50790"/>
  </r>
  <r>
    <n v="1080"/>
    <s v="2026-03-06"/>
    <x v="1"/>
    <s v="Pune"/>
    <x v="0"/>
    <s v="Mobile"/>
    <s v="Consumer"/>
    <s v="Pooja"/>
    <s v="Standard"/>
    <n v="8"/>
    <n v="34320"/>
    <n v="0.15"/>
    <n v="233376"/>
    <n v="-6176"/>
  </r>
  <r>
    <n v="1147"/>
    <s v="2026-03-10"/>
    <x v="2"/>
    <s v="Kolkata"/>
    <x v="1"/>
    <s v="Shoes"/>
    <s v="Corporate"/>
    <s v="Sanjay"/>
    <s v="Standard"/>
    <n v="3"/>
    <n v="2221"/>
    <n v="0.05"/>
    <n v="6330"/>
    <n v="1168"/>
  </r>
  <r>
    <n v="1060"/>
    <s v="2026-03-11"/>
    <x v="2"/>
    <s v="Bhubaneswar"/>
    <x v="1"/>
    <s v="Jacket"/>
    <s v="Home Office"/>
    <s v="Pooja"/>
    <s v="Same Day"/>
    <n v="7"/>
    <n v="1498"/>
    <n v="0.1"/>
    <n v="9437"/>
    <n v="881"/>
  </r>
  <r>
    <n v="1136"/>
    <s v="2026-03-12"/>
    <x v="1"/>
    <s v="Mumbai"/>
    <x v="1"/>
    <s v="Shirt"/>
    <s v="Home Office"/>
    <s v="Pooja"/>
    <s v="Express"/>
    <n v="6"/>
    <n v="1550"/>
    <n v="0"/>
    <n v="9300"/>
    <n v="1029"/>
  </r>
  <r>
    <n v="1137"/>
    <s v="2026-03-12"/>
    <x v="3"/>
    <s v="Chandigarh"/>
    <x v="2"/>
    <s v="Table"/>
    <s v="Corporate"/>
    <s v="Rakesh"/>
    <s v="Standard"/>
    <n v="1"/>
    <n v="20401"/>
    <n v="0"/>
    <n v="20401"/>
    <n v="1341"/>
  </r>
  <r>
    <n v="1135"/>
    <s v="2026-03-16"/>
    <x v="1"/>
    <s v="Ahmedabad"/>
    <x v="2"/>
    <s v="Bookshelf"/>
    <s v="Corporate"/>
    <s v="Sanjay"/>
    <s v="Express"/>
    <n v="6"/>
    <n v="14429"/>
    <n v="0"/>
    <n v="86574"/>
    <n v="7494"/>
  </r>
  <r>
    <n v="1077"/>
    <s v="2026-03-17"/>
    <x v="3"/>
    <s v="Delhi"/>
    <x v="1"/>
    <s v="Jeans"/>
    <s v="Consumer"/>
    <s v="Vikram"/>
    <s v="Express"/>
    <n v="3"/>
    <n v="1340"/>
    <n v="0.2"/>
    <n v="3216"/>
    <n v="899"/>
  </r>
  <r>
    <n v="1059"/>
    <s v="2026-03-20"/>
    <x v="3"/>
    <s v="Chandigarh"/>
    <x v="2"/>
    <s v="Table"/>
    <s v="Corporate"/>
    <s v="Anita"/>
    <s v="Standard"/>
    <n v="5"/>
    <n v="3448"/>
    <n v="0"/>
    <n v="17240"/>
    <n v="2024"/>
  </r>
  <r>
    <n v="1037"/>
    <s v="2026-03-26"/>
    <x v="1"/>
    <s v="Pune"/>
    <x v="3"/>
    <s v="Diary"/>
    <s v="Corporate"/>
    <s v="Rakesh"/>
    <s v="Same Day"/>
    <n v="4"/>
    <n v="992"/>
    <n v="0.05"/>
    <n v="3770"/>
    <n v="221"/>
  </r>
  <r>
    <n v="1053"/>
    <s v="2026-03-26"/>
    <x v="3"/>
    <s v="Chandigarh"/>
    <x v="2"/>
    <s v="Sofa"/>
    <s v="Consumer"/>
    <s v="Vikram"/>
    <s v="Standard"/>
    <n v="4"/>
    <n v="6760"/>
    <n v="0.15"/>
    <n v="22984"/>
    <n v="2177"/>
  </r>
  <r>
    <n v="1144"/>
    <s v="2026-03-26"/>
    <x v="0"/>
    <s v="Bangalore"/>
    <x v="0"/>
    <s v="Tablet"/>
    <s v="Home Office"/>
    <s v="Pooja"/>
    <s v="Standard"/>
    <n v="6"/>
    <n v="13118"/>
    <n v="0.2"/>
    <n v="62966"/>
    <n v="13493"/>
  </r>
  <r>
    <n v="1078"/>
    <s v="2026-03-31"/>
    <x v="3"/>
    <s v="Lucknow"/>
    <x v="2"/>
    <s v="Table"/>
    <s v="Corporate"/>
    <s v="Pooja"/>
    <s v="Standard"/>
    <n v="5"/>
    <n v="6602"/>
    <n v="0"/>
    <n v="33010"/>
    <n v="5198"/>
  </r>
  <r>
    <n v="1032"/>
    <s v="2026-04-01"/>
    <x v="2"/>
    <s v="Bhubaneswar"/>
    <x v="2"/>
    <s v="Bookshelf"/>
    <s v="Corporate"/>
    <s v="Anita"/>
    <s v="Standard"/>
    <n v="8"/>
    <n v="10994"/>
    <n v="0.15"/>
    <n v="74759"/>
    <n v="3862"/>
  </r>
  <r>
    <n v="1026"/>
    <s v="2026-04-02"/>
    <x v="2"/>
    <s v="Patna"/>
    <x v="1"/>
    <s v="Shirt"/>
    <s v="Consumer"/>
    <s v="Anita"/>
    <s v="Express"/>
    <n v="5"/>
    <n v="2586"/>
    <n v="0.15"/>
    <n v="10990"/>
    <n v="3784"/>
  </r>
  <r>
    <n v="1055"/>
    <s v="2026-04-03"/>
    <x v="1"/>
    <s v="Mumbai"/>
    <x v="0"/>
    <s v="Laptop"/>
    <s v="Corporate"/>
    <s v="Rakesh"/>
    <s v="Express"/>
    <n v="1"/>
    <n v="58119"/>
    <n v="0.2"/>
    <n v="46495"/>
    <n v="12874"/>
  </r>
  <r>
    <n v="1066"/>
    <s v="2026-04-03"/>
    <x v="0"/>
    <s v="Hyderabad"/>
    <x v="1"/>
    <s v="Shirt"/>
    <s v="Home Office"/>
    <s v="Sanjay"/>
    <s v="Same Day"/>
    <n v="1"/>
    <n v="1701"/>
    <n v="0"/>
    <n v="1701"/>
    <n v="305"/>
  </r>
  <r>
    <n v="1003"/>
    <s v="2026-04-09"/>
    <x v="3"/>
    <s v="Lucknow"/>
    <x v="1"/>
    <s v="Jacket"/>
    <s v="Home Office"/>
    <s v="Rakesh"/>
    <s v="Express"/>
    <n v="1"/>
    <n v="2696"/>
    <n v="0.05"/>
    <n v="2561"/>
    <n v="189"/>
  </r>
  <r>
    <n v="1025"/>
    <s v="2026-04-09"/>
    <x v="1"/>
    <s v="Mumbai"/>
    <x v="0"/>
    <s v="Tablet"/>
    <s v="Consumer"/>
    <s v="Vikram"/>
    <s v="Standard"/>
    <n v="1"/>
    <n v="38847"/>
    <n v="0"/>
    <n v="38847"/>
    <n v="5499"/>
  </r>
  <r>
    <n v="1140"/>
    <s v="2026-04-09"/>
    <x v="2"/>
    <s v="Kolkata"/>
    <x v="3"/>
    <s v="Backpack"/>
    <s v="Corporate"/>
    <s v="Rakesh"/>
    <s v="Express"/>
    <n v="4"/>
    <n v="1039"/>
    <n v="0.15"/>
    <n v="3533"/>
    <n v="449"/>
  </r>
  <r>
    <n v="1001"/>
    <s v="2026-04-12"/>
    <x v="3"/>
    <s v="Delhi"/>
    <x v="1"/>
    <s v="Jeans"/>
    <s v="Home Office"/>
    <s v="Pooja"/>
    <s v="Standard"/>
    <n v="4"/>
    <n v="2733"/>
    <n v="0.1"/>
    <n v="9839"/>
    <n v="-369"/>
  </r>
  <r>
    <n v="1039"/>
    <s v="2026-04-13"/>
    <x v="2"/>
    <s v="Patna"/>
    <x v="3"/>
    <s v="Backpack"/>
    <s v="Consumer"/>
    <s v="Anita"/>
    <s v="Standard"/>
    <n v="2"/>
    <n v="206"/>
    <n v="0"/>
    <n v="412"/>
    <n v="-40"/>
  </r>
  <r>
    <n v="1110"/>
    <s v="2026-04-14"/>
    <x v="0"/>
    <s v="Bangalore"/>
    <x v="1"/>
    <s v="Jacket"/>
    <s v="Consumer"/>
    <s v="Sanjay"/>
    <s v="Express"/>
    <n v="3"/>
    <n v="2460"/>
    <n v="0"/>
    <n v="7380"/>
    <n v="-606"/>
  </r>
  <r>
    <n v="1076"/>
    <s v="2026-04-19"/>
    <x v="2"/>
    <s v="Kolkata"/>
    <x v="1"/>
    <s v="Shirt"/>
    <s v="Consumer"/>
    <s v="Sanjay"/>
    <s v="Same Day"/>
    <n v="6"/>
    <n v="1969"/>
    <n v="0.05"/>
    <n v="11223"/>
    <n v="1490"/>
  </r>
  <r>
    <n v="1047"/>
    <s v="2026-04-21"/>
    <x v="1"/>
    <s v="Ahmedabad"/>
    <x v="3"/>
    <s v="Backpack"/>
    <s v="Consumer"/>
    <s v="Rakesh"/>
    <s v="Standard"/>
    <n v="5"/>
    <n v="494"/>
    <n v="0"/>
    <n v="2470"/>
    <n v="212"/>
  </r>
  <r>
    <n v="1081"/>
    <s v="2026-04-21"/>
    <x v="1"/>
    <s v="Ahmedabad"/>
    <x v="1"/>
    <s v="Shoes"/>
    <s v="Home Office"/>
    <s v="Rakesh"/>
    <s v="Same Day"/>
    <n v="5"/>
    <n v="2979"/>
    <n v="0"/>
    <n v="14895"/>
    <n v="4289"/>
  </r>
  <r>
    <n v="1086"/>
    <s v="2026-04-21"/>
    <x v="1"/>
    <s v="Pune"/>
    <x v="1"/>
    <s v="Shirt"/>
    <s v="Home Office"/>
    <s v="Anita"/>
    <s v="Same Day"/>
    <n v="3"/>
    <n v="2141"/>
    <n v="0"/>
    <n v="6423"/>
    <n v="1749"/>
  </r>
  <r>
    <n v="1050"/>
    <s v="2026-04-26"/>
    <x v="2"/>
    <s v="Patna"/>
    <x v="0"/>
    <s v="Mobile"/>
    <s v="Home Office"/>
    <s v="Pooja"/>
    <s v="Same Day"/>
    <n v="3"/>
    <n v="17777"/>
    <n v="0"/>
    <n v="53331"/>
    <n v="4562"/>
  </r>
  <r>
    <n v="1148"/>
    <s v="2026-04-28"/>
    <x v="1"/>
    <s v="Mumbai"/>
    <x v="2"/>
    <s v="Bookshelf"/>
    <s v="Home Office"/>
    <s v="Sanjay"/>
    <s v="Express"/>
    <n v="3"/>
    <n v="10297"/>
    <n v="0"/>
    <n v="30891"/>
    <n v="5835"/>
  </r>
  <r>
    <n v="1141"/>
    <s v="2026-05-01"/>
    <x v="0"/>
    <s v="Hyderabad"/>
    <x v="3"/>
    <s v="Diary"/>
    <s v="Corporate"/>
    <s v="Anita"/>
    <s v="Express"/>
    <n v="6"/>
    <n v="478"/>
    <n v="0"/>
    <n v="2868"/>
    <n v="554"/>
  </r>
  <r>
    <n v="1101"/>
    <s v="2026-05-02"/>
    <x v="3"/>
    <s v="Chandigarh"/>
    <x v="1"/>
    <s v="Jeans"/>
    <s v="Corporate"/>
    <s v="Anita"/>
    <s v="Express"/>
    <n v="7"/>
    <n v="1240"/>
    <n v="0.2"/>
    <n v="6944"/>
    <n v="2228"/>
  </r>
  <r>
    <n v="1013"/>
    <s v="2026-05-05"/>
    <x v="0"/>
    <s v="Bangalore"/>
    <x v="0"/>
    <s v="Headphones"/>
    <s v="Home Office"/>
    <s v="Pooja"/>
    <s v="Express"/>
    <n v="2"/>
    <n v="41695"/>
    <n v="0.05"/>
    <n v="79220"/>
    <n v="9053"/>
  </r>
  <r>
    <n v="1023"/>
    <s v="2026-05-08"/>
    <x v="3"/>
    <s v="Delhi"/>
    <x v="0"/>
    <s v="Laptop"/>
    <s v="Corporate"/>
    <s v="Anita"/>
    <s v="Standard"/>
    <n v="1"/>
    <n v="32196"/>
    <n v="0.05"/>
    <n v="30586"/>
    <n v="2699"/>
  </r>
  <r>
    <n v="1024"/>
    <s v="2026-05-08"/>
    <x v="3"/>
    <s v="Lucknow"/>
    <x v="3"/>
    <s v="Pen Set"/>
    <s v="Home Office"/>
    <s v="Sanjay"/>
    <s v="Same Day"/>
    <n v="4"/>
    <n v="150"/>
    <n v="0"/>
    <n v="600"/>
    <n v="163"/>
  </r>
  <r>
    <n v="1006"/>
    <s v="2026-05-15"/>
    <x v="2"/>
    <s v="Patna"/>
    <x v="0"/>
    <s v="Laptop"/>
    <s v="Home Office"/>
    <s v="Vikram"/>
    <s v="Same Day"/>
    <n v="6"/>
    <n v="21934"/>
    <n v="0.15"/>
    <n v="111863"/>
    <n v="20992"/>
  </r>
  <r>
    <n v="1021"/>
    <s v="2026-05-16"/>
    <x v="3"/>
    <s v="Chandigarh"/>
    <x v="1"/>
    <s v="Shirt"/>
    <s v="Corporate"/>
    <s v="Rakesh"/>
    <s v="Standard"/>
    <n v="3"/>
    <n v="938"/>
    <n v="0"/>
    <n v="2814"/>
    <n v="371"/>
  </r>
  <r>
    <n v="1004"/>
    <s v="2026-05-17"/>
    <x v="3"/>
    <s v="Delhi"/>
    <x v="2"/>
    <s v="Sofa"/>
    <s v="Corporate"/>
    <s v="Neha"/>
    <s v="Standard"/>
    <n v="2"/>
    <n v="6309"/>
    <n v="0.05"/>
    <n v="11987"/>
    <n v="2885"/>
  </r>
  <r>
    <n v="1043"/>
    <s v="2026-05-18"/>
    <x v="2"/>
    <s v="Bhubaneswar"/>
    <x v="2"/>
    <s v="Bookshelf"/>
    <s v="Corporate"/>
    <s v="Sanjay"/>
    <s v="Same Day"/>
    <n v="3"/>
    <n v="20096"/>
    <n v="0.2"/>
    <n v="48230"/>
    <n v="15717"/>
  </r>
  <r>
    <n v="1085"/>
    <s v="2026-05-20"/>
    <x v="1"/>
    <s v="Mumbai"/>
    <x v="1"/>
    <s v="Jeans"/>
    <s v="Consumer"/>
    <s v="Neha"/>
    <s v="Standard"/>
    <n v="7"/>
    <n v="2780"/>
    <n v="0.1"/>
    <n v="17514"/>
    <n v="5757"/>
  </r>
  <r>
    <n v="1121"/>
    <s v="2026-05-21"/>
    <x v="3"/>
    <s v="Delhi"/>
    <x v="2"/>
    <s v="Sofa"/>
    <s v="Consumer"/>
    <s v="Neha"/>
    <s v="Same Day"/>
    <n v="3"/>
    <n v="13572"/>
    <n v="0.1"/>
    <n v="36644"/>
    <n v="11670"/>
  </r>
  <r>
    <n v="1102"/>
    <s v="2026-05-25"/>
    <x v="2"/>
    <s v="Bhubaneswar"/>
    <x v="1"/>
    <s v="Shoes"/>
    <s v="Corporate"/>
    <s v="Pooja"/>
    <s v="Express"/>
    <n v="4"/>
    <n v="1767"/>
    <n v="0.2"/>
    <n v="5654"/>
    <n v="612"/>
  </r>
  <r>
    <n v="1105"/>
    <s v="2026-05-27"/>
    <x v="1"/>
    <s v="Mumbai"/>
    <x v="3"/>
    <s v="Notebook"/>
    <s v="Consumer"/>
    <s v="Vikram"/>
    <s v="Standard"/>
    <n v="6"/>
    <n v="302"/>
    <n v="0.2"/>
    <n v="1450"/>
    <n v="383"/>
  </r>
  <r>
    <n v="1056"/>
    <s v="2026-05-28"/>
    <x v="2"/>
    <s v="Bhubaneswar"/>
    <x v="3"/>
    <s v="Notebook"/>
    <s v="Home Office"/>
    <s v="Sanjay"/>
    <s v="Express"/>
    <n v="8"/>
    <n v="757"/>
    <n v="0.15"/>
    <n v="5148"/>
    <n v="419"/>
  </r>
  <r>
    <n v="1067"/>
    <s v="2026-05-28"/>
    <x v="0"/>
    <s v="Bangalore"/>
    <x v="0"/>
    <s v="Tablet"/>
    <s v="Consumer"/>
    <s v="Rakesh"/>
    <s v="Express"/>
    <n v="4"/>
    <n v="40615"/>
    <n v="0.05"/>
    <n v="154337"/>
    <n v="37253"/>
  </r>
  <r>
    <n v="1150"/>
    <s v="2026-05-29"/>
    <x v="3"/>
    <s v="Chandigarh"/>
    <x v="0"/>
    <s v="Tablet"/>
    <s v="Consumer"/>
    <s v="Anita"/>
    <s v="Same Day"/>
    <n v="1"/>
    <n v="24038"/>
    <n v="0"/>
    <n v="24038"/>
    <n v="5094"/>
  </r>
  <r>
    <n v="1048"/>
    <s v="2026-05-30"/>
    <x v="2"/>
    <s v="Patna"/>
    <x v="1"/>
    <s v="Shirt"/>
    <s v="Consumer"/>
    <s v="Neha"/>
    <s v="Standard"/>
    <n v="4"/>
    <n v="1978"/>
    <n v="0"/>
    <n v="7912"/>
    <n v="429"/>
  </r>
  <r>
    <n v="1071"/>
    <s v="2026-06-01"/>
    <x v="0"/>
    <s v="Bangalore"/>
    <x v="1"/>
    <s v="Jacket"/>
    <s v="Corporate"/>
    <s v="Vikram"/>
    <s v="Express"/>
    <n v="7"/>
    <n v="1041"/>
    <n v="0"/>
    <n v="7287"/>
    <n v="1525"/>
  </r>
  <r>
    <n v="1134"/>
    <s v="2026-06-02"/>
    <x v="2"/>
    <s v="Patna"/>
    <x v="2"/>
    <s v="Bookshelf"/>
    <s v="Corporate"/>
    <s v="Pooja"/>
    <s v="Standard"/>
    <n v="6"/>
    <n v="14609"/>
    <n v="0.05"/>
    <n v="83271"/>
    <n v="8967"/>
  </r>
  <r>
    <n v="1130"/>
    <s v="2026-06-03"/>
    <x v="3"/>
    <s v="Delhi"/>
    <x v="2"/>
    <s v="Sofa"/>
    <s v="Consumer"/>
    <s v="Neha"/>
    <s v="Express"/>
    <n v="8"/>
    <n v="17974"/>
    <n v="0.1"/>
    <n v="129413"/>
    <n v="11897"/>
  </r>
  <r>
    <n v="1020"/>
    <s v="2026-06-04"/>
    <x v="2"/>
    <s v="Bhubaneswar"/>
    <x v="0"/>
    <s v="Mobile"/>
    <s v="Corporate"/>
    <s v="Vikram"/>
    <s v="Same Day"/>
    <n v="4"/>
    <n v="41153"/>
    <n v="0"/>
    <n v="164612"/>
    <n v="51652"/>
  </r>
  <r>
    <n v="1041"/>
    <s v="2026-06-04"/>
    <x v="0"/>
    <s v="Chennai"/>
    <x v="0"/>
    <s v="Mobile"/>
    <s v="Consumer"/>
    <s v="Vikram"/>
    <s v="Same Day"/>
    <n v="5"/>
    <n v="45735"/>
    <n v="0"/>
    <n v="228675"/>
    <n v="52053"/>
  </r>
  <r>
    <n v="1005"/>
    <s v="2026-06-11"/>
    <x v="3"/>
    <s v="Chandigarh"/>
    <x v="2"/>
    <s v="Table"/>
    <s v="Consumer"/>
    <s v="Anita"/>
    <s v="Standard"/>
    <n v="3"/>
    <n v="15433"/>
    <n v="0.15"/>
    <n v="39354"/>
    <n v="8543"/>
  </r>
  <r>
    <n v="1117"/>
    <s v="2026-06-13"/>
    <x v="1"/>
    <s v="Pune"/>
    <x v="3"/>
    <s v="Pen Set"/>
    <s v="Corporate"/>
    <s v="Rakesh"/>
    <s v="Standard"/>
    <n v="5"/>
    <n v="351"/>
    <n v="0"/>
    <n v="1755"/>
    <n v="537"/>
  </r>
  <r>
    <n v="1054"/>
    <s v="2026-06-15"/>
    <x v="1"/>
    <s v="Ahmedabad"/>
    <x v="1"/>
    <s v="Shoes"/>
    <s v="Consumer"/>
    <s v="Pooja"/>
    <s v="Express"/>
    <n v="2"/>
    <n v="2148"/>
    <n v="0.1"/>
    <n v="3866"/>
    <n v="820"/>
  </r>
  <r>
    <n v="1046"/>
    <s v="2026-06-19"/>
    <x v="2"/>
    <s v="Kolkata"/>
    <x v="0"/>
    <s v="Headphones"/>
    <s v="Corporate"/>
    <s v="Neha"/>
    <s v="Same Day"/>
    <n v="4"/>
    <n v="34502"/>
    <n v="0.1"/>
    <n v="124207"/>
    <n v="19961"/>
  </r>
  <r>
    <n v="1111"/>
    <s v="2026-06-19"/>
    <x v="3"/>
    <s v="Delhi"/>
    <x v="0"/>
    <s v="Headphones"/>
    <s v="Corporate"/>
    <s v="Neha"/>
    <s v="Standard"/>
    <n v="5"/>
    <n v="41776"/>
    <n v="0"/>
    <n v="208880"/>
    <n v="12739"/>
  </r>
  <r>
    <n v="1109"/>
    <s v="2026-06-20"/>
    <x v="3"/>
    <s v="Lucknow"/>
    <x v="3"/>
    <s v="Notebook"/>
    <s v="Home Office"/>
    <s v="Rakesh"/>
    <s v="Standard"/>
    <n v="7"/>
    <n v="831"/>
    <n v="0.2"/>
    <n v="4654"/>
    <n v="327"/>
  </r>
  <r>
    <n v="1038"/>
    <s v="2026-06-22"/>
    <x v="2"/>
    <s v="Kolkata"/>
    <x v="0"/>
    <s v="Tablet"/>
    <s v="Corporate"/>
    <s v="Vikram"/>
    <s v="Express"/>
    <n v="1"/>
    <n v="13501"/>
    <n v="0.2"/>
    <n v="10801"/>
    <n v="-544"/>
  </r>
  <r>
    <n v="1124"/>
    <s v="2026-06-26"/>
    <x v="1"/>
    <s v="Pune"/>
    <x v="0"/>
    <s v="Mobile"/>
    <s v="Corporate"/>
    <s v="Rakesh"/>
    <s v="Same Day"/>
    <n v="3"/>
    <n v="36809"/>
    <n v="0"/>
    <n v="110427"/>
    <n v="16791"/>
  </r>
  <r>
    <n v="1092"/>
    <s v="2026-06-28"/>
    <x v="3"/>
    <s v="Delhi"/>
    <x v="3"/>
    <s v="Diary"/>
    <s v="Home Office"/>
    <s v="Pooja"/>
    <s v="Standard"/>
    <n v="2"/>
    <n v="553"/>
    <n v="0"/>
    <n v="1106"/>
    <n v="-78"/>
  </r>
  <r>
    <n v="1084"/>
    <s v="2026-06-29"/>
    <x v="1"/>
    <s v="Ahmedabad"/>
    <x v="3"/>
    <s v="Notebook"/>
    <s v="Consumer"/>
    <s v="Sanjay"/>
    <s v="Standard"/>
    <n v="5"/>
    <n v="312"/>
    <n v="0.1"/>
    <n v="1404"/>
    <n v="284"/>
  </r>
  <r>
    <n v="1044"/>
    <s v="2026-07-01"/>
    <x v="1"/>
    <s v="Mumbai"/>
    <x v="0"/>
    <s v="Headphones"/>
    <s v="Corporate"/>
    <s v="Vikram"/>
    <s v="Standard"/>
    <n v="8"/>
    <n v="23981"/>
    <n v="0.15"/>
    <n v="163071"/>
    <n v="-14363"/>
  </r>
  <r>
    <n v="1042"/>
    <s v="2026-07-05"/>
    <x v="3"/>
    <s v="Chandigarh"/>
    <x v="0"/>
    <s v="Headphones"/>
    <s v="Consumer"/>
    <s v="Sanjay"/>
    <s v="Express"/>
    <n v="7"/>
    <n v="51353"/>
    <n v="0.15"/>
    <n v="305550"/>
    <n v="46556"/>
  </r>
  <r>
    <n v="1070"/>
    <s v="2026-07-06"/>
    <x v="1"/>
    <s v="Mumbai"/>
    <x v="1"/>
    <s v="Jeans"/>
    <s v="Corporate"/>
    <s v="Neha"/>
    <s v="Standard"/>
    <n v="4"/>
    <n v="1060"/>
    <n v="0"/>
    <n v="4240"/>
    <n v="1361"/>
  </r>
  <r>
    <n v="1011"/>
    <s v="2026-07-11"/>
    <x v="0"/>
    <s v="Hyderabad"/>
    <x v="3"/>
    <s v="Pen Set"/>
    <s v="Corporate"/>
    <s v="Rakesh"/>
    <s v="Express"/>
    <n v="5"/>
    <n v="533"/>
    <n v="0.1"/>
    <n v="2398"/>
    <n v="663"/>
  </r>
  <r>
    <n v="1002"/>
    <s v="2026-07-14"/>
    <x v="2"/>
    <s v="Kolkata"/>
    <x v="3"/>
    <s v="Backpack"/>
    <s v="Consumer"/>
    <s v="Neha"/>
    <s v="Standard"/>
    <n v="1"/>
    <n v="796"/>
    <n v="0"/>
    <n v="796"/>
    <n v="77"/>
  </r>
  <r>
    <n v="1064"/>
    <s v="2026-07-14"/>
    <x v="0"/>
    <s v="Chennai"/>
    <x v="2"/>
    <s v="Chair"/>
    <s v="Home Office"/>
    <s v="Neha"/>
    <s v="Same Day"/>
    <n v="8"/>
    <n v="11684"/>
    <n v="0.15"/>
    <n v="79451"/>
    <n v="13447"/>
  </r>
  <r>
    <n v="1062"/>
    <s v="2026-07-15"/>
    <x v="1"/>
    <s v="Pune"/>
    <x v="3"/>
    <s v="Diary"/>
    <s v="Home Office"/>
    <s v="Neha"/>
    <s v="Express"/>
    <n v="6"/>
    <n v="884"/>
    <n v="0"/>
    <n v="5304"/>
    <n v="1627"/>
  </r>
  <r>
    <n v="1068"/>
    <s v="2026-07-15"/>
    <x v="0"/>
    <s v="Bangalore"/>
    <x v="3"/>
    <s v="Backpack"/>
    <s v="Consumer"/>
    <s v="Sanjay"/>
    <s v="Standard"/>
    <n v="5"/>
    <n v="1035"/>
    <n v="0.2"/>
    <n v="4140"/>
    <n v="582"/>
  </r>
  <r>
    <n v="1095"/>
    <s v="2026-07-16"/>
    <x v="3"/>
    <s v="Lucknow"/>
    <x v="3"/>
    <s v="Diary"/>
    <s v="Home Office"/>
    <s v="Pooja"/>
    <s v="Same Day"/>
    <n v="1"/>
    <n v="257"/>
    <n v="0.15"/>
    <n v="218"/>
    <n v="67"/>
  </r>
  <r>
    <n v="1016"/>
    <s v="2026-07-19"/>
    <x v="3"/>
    <s v="Chandigarh"/>
    <x v="0"/>
    <s v="Mobile"/>
    <s v="Corporate"/>
    <s v="Vikram"/>
    <s v="Standard"/>
    <n v="4"/>
    <n v="18899"/>
    <n v="0"/>
    <n v="75596"/>
    <n v="23389"/>
  </r>
  <r>
    <n v="1098"/>
    <s v="2026-07-20"/>
    <x v="1"/>
    <s v="Mumbai"/>
    <x v="1"/>
    <s v="Shirt"/>
    <s v="Corporate"/>
    <s v="Neha"/>
    <s v="Same Day"/>
    <n v="7"/>
    <n v="2968"/>
    <n v="0"/>
    <n v="20776"/>
    <n v="1547"/>
  </r>
  <r>
    <n v="1104"/>
    <s v="2026-07-22"/>
    <x v="1"/>
    <s v="Mumbai"/>
    <x v="2"/>
    <s v="Sofa"/>
    <s v="Corporate"/>
    <s v="Anita"/>
    <s v="Standard"/>
    <n v="8"/>
    <n v="7828"/>
    <n v="0"/>
    <n v="62624"/>
    <n v="18475"/>
  </r>
  <r>
    <n v="1123"/>
    <s v="2026-07-27"/>
    <x v="3"/>
    <s v="Delhi"/>
    <x v="1"/>
    <s v="Jeans"/>
    <s v="Corporate"/>
    <s v="Neha"/>
    <s v="Standard"/>
    <n v="7"/>
    <n v="624"/>
    <n v="0.15"/>
    <n v="3713"/>
    <n v="793"/>
  </r>
  <r>
    <n v="1028"/>
    <s v="2026-07-29"/>
    <x v="3"/>
    <s v="Chandigarh"/>
    <x v="2"/>
    <s v="Sofa"/>
    <s v="Home Office"/>
    <s v="Neha"/>
    <s v="Express"/>
    <n v="7"/>
    <n v="24765"/>
    <n v="0"/>
    <n v="173355"/>
    <n v="43168"/>
  </r>
  <r>
    <n v="1083"/>
    <s v="2026-07-30"/>
    <x v="3"/>
    <s v="Delhi"/>
    <x v="0"/>
    <s v="Mobile"/>
    <s v="Home Office"/>
    <s v="Neha"/>
    <s v="Standard"/>
    <n v="7"/>
    <n v="14328"/>
    <n v="0"/>
    <n v="100296"/>
    <n v="22661"/>
  </r>
  <r>
    <n v="1125"/>
    <s v="2026-08-03"/>
    <x v="2"/>
    <s v="Kolkata"/>
    <x v="1"/>
    <s v="Shirt"/>
    <s v="Corporate"/>
    <s v="Neha"/>
    <s v="Same Day"/>
    <n v="6"/>
    <n v="1001"/>
    <n v="0.05"/>
    <n v="5706"/>
    <n v="710"/>
  </r>
  <r>
    <n v="1007"/>
    <s v="2026-08-05"/>
    <x v="2"/>
    <s v="Bhubaneswar"/>
    <x v="3"/>
    <s v="Backpack"/>
    <s v="Consumer"/>
    <s v="Rakesh"/>
    <s v="Same Day"/>
    <n v="4"/>
    <n v="286"/>
    <n v="0.2"/>
    <n v="915"/>
    <n v="59"/>
  </r>
  <r>
    <n v="1099"/>
    <s v="2026-08-05"/>
    <x v="0"/>
    <s v="Hyderabad"/>
    <x v="0"/>
    <s v="Headphones"/>
    <s v="Home Office"/>
    <s v="Rakesh"/>
    <s v="Standard"/>
    <n v="7"/>
    <n v="50171"/>
    <n v="0.15"/>
    <n v="298517"/>
    <n v="89163"/>
  </r>
  <r>
    <n v="1106"/>
    <s v="2026-08-05"/>
    <x v="2"/>
    <s v="Bhubaneswar"/>
    <x v="2"/>
    <s v="Bookshelf"/>
    <s v="Home Office"/>
    <s v="Rakesh"/>
    <s v="Same Day"/>
    <n v="8"/>
    <n v="3172"/>
    <n v="0"/>
    <n v="25376"/>
    <n v="2911"/>
  </r>
  <r>
    <n v="1112"/>
    <s v="2026-08-06"/>
    <x v="1"/>
    <s v="Mumbai"/>
    <x v="1"/>
    <s v="Shoes"/>
    <s v="Corporate"/>
    <s v="Pooja"/>
    <s v="Standard"/>
    <n v="7"/>
    <n v="2083"/>
    <n v="0"/>
    <n v="14581"/>
    <n v="2900"/>
  </r>
  <r>
    <n v="1022"/>
    <s v="2026-08-07"/>
    <x v="2"/>
    <s v="Patna"/>
    <x v="0"/>
    <s v="Mobile"/>
    <s v="Home Office"/>
    <s v="Vikram"/>
    <s v="Express"/>
    <n v="7"/>
    <n v="26132"/>
    <n v="0.2"/>
    <n v="146339"/>
    <n v="13060"/>
  </r>
  <r>
    <n v="1090"/>
    <s v="2026-08-08"/>
    <x v="2"/>
    <s v="Kolkata"/>
    <x v="2"/>
    <s v="Bookshelf"/>
    <s v="Corporate"/>
    <s v="Anita"/>
    <s v="Same Day"/>
    <n v="4"/>
    <n v="21308"/>
    <n v="0.05"/>
    <n v="80970"/>
    <n v="-1741"/>
  </r>
  <r>
    <n v="1127"/>
    <s v="2026-08-09"/>
    <x v="2"/>
    <s v="Kolkata"/>
    <x v="2"/>
    <s v="Sofa"/>
    <s v="Consumer"/>
    <s v="Pooja"/>
    <s v="Standard"/>
    <n v="1"/>
    <n v="12219"/>
    <n v="0.2"/>
    <n v="9775"/>
    <n v="2407"/>
  </r>
  <r>
    <n v="1008"/>
    <s v="2026-08-11"/>
    <x v="3"/>
    <s v="Lucknow"/>
    <x v="3"/>
    <s v="Diary"/>
    <s v="Consumer"/>
    <s v="Neha"/>
    <s v="Express"/>
    <n v="5"/>
    <n v="1496"/>
    <n v="0.1"/>
    <n v="6732"/>
    <n v="1853"/>
  </r>
  <r>
    <n v="1027"/>
    <s v="2026-08-12"/>
    <x v="1"/>
    <s v="Mumbai"/>
    <x v="0"/>
    <s v="Tablet"/>
    <s v="Corporate"/>
    <s v="Vikram"/>
    <s v="Standard"/>
    <n v="6"/>
    <n v="55745"/>
    <n v="0.1"/>
    <n v="301023"/>
    <n v="25495"/>
  </r>
  <r>
    <n v="1091"/>
    <s v="2026-08-12"/>
    <x v="2"/>
    <s v="Bhubaneswar"/>
    <x v="3"/>
    <s v="Backpack"/>
    <s v="Corporate"/>
    <s v="Rakesh"/>
    <s v="Standard"/>
    <n v="2"/>
    <n v="451"/>
    <n v="0.2"/>
    <n v="722"/>
    <n v="241"/>
  </r>
  <r>
    <n v="1034"/>
    <s v="2026-08-14"/>
    <x v="2"/>
    <s v="Bhubaneswar"/>
    <x v="3"/>
    <s v="Pen Set"/>
    <s v="Consumer"/>
    <s v="Rakesh"/>
    <s v="Express"/>
    <n v="8"/>
    <n v="1405"/>
    <n v="0"/>
    <n v="11240"/>
    <n v="3144"/>
  </r>
  <r>
    <n v="1132"/>
    <s v="2026-08-14"/>
    <x v="2"/>
    <s v="Patna"/>
    <x v="2"/>
    <s v="Chair"/>
    <s v="Consumer"/>
    <s v="Anita"/>
    <s v="Standard"/>
    <n v="8"/>
    <n v="20178"/>
    <n v="0.2"/>
    <n v="129139"/>
    <n v="-12379"/>
  </r>
  <r>
    <n v="1065"/>
    <s v="2026-08-16"/>
    <x v="1"/>
    <s v="Ahmedabad"/>
    <x v="3"/>
    <s v="Notebook"/>
    <s v="Home Office"/>
    <s v="Rakesh"/>
    <s v="Standard"/>
    <n v="2"/>
    <n v="565"/>
    <n v="0.15"/>
    <n v="960"/>
    <n v="74"/>
  </r>
  <r>
    <n v="1075"/>
    <s v="2026-08-16"/>
    <x v="1"/>
    <s v="Ahmedabad"/>
    <x v="3"/>
    <s v="Pen Set"/>
    <s v="Corporate"/>
    <s v="Rakesh"/>
    <s v="Standard"/>
    <n v="7"/>
    <n v="1360"/>
    <n v="0.05"/>
    <n v="9044"/>
    <n v="3000"/>
  </r>
  <r>
    <n v="1113"/>
    <s v="2026-08-16"/>
    <x v="3"/>
    <s v="Lucknow"/>
    <x v="2"/>
    <s v="Sofa"/>
    <s v="Consumer"/>
    <s v="Sanjay"/>
    <s v="Same Day"/>
    <n v="6"/>
    <n v="5623"/>
    <n v="0"/>
    <n v="33738"/>
    <n v="4789"/>
  </r>
  <r>
    <n v="1115"/>
    <s v="2026-08-16"/>
    <x v="0"/>
    <s v="Hyderabad"/>
    <x v="3"/>
    <s v="Notebook"/>
    <s v="Corporate"/>
    <s v="Sanjay"/>
    <s v="Express"/>
    <n v="3"/>
    <n v="841"/>
    <n v="0.05"/>
    <n v="2397"/>
    <n v="-77"/>
  </r>
  <r>
    <n v="1128"/>
    <s v="2026-08-19"/>
    <x v="0"/>
    <s v="Chennai"/>
    <x v="1"/>
    <s v="Shoes"/>
    <s v="Corporate"/>
    <s v="Anita"/>
    <s v="Same Day"/>
    <n v="6"/>
    <n v="709"/>
    <n v="0.1"/>
    <n v="3829"/>
    <n v="415"/>
  </r>
  <r>
    <n v="1052"/>
    <s v="2026-08-21"/>
    <x v="0"/>
    <s v="Bangalore"/>
    <x v="2"/>
    <s v="Chair"/>
    <s v="Corporate"/>
    <s v="Rakesh"/>
    <s v="Same Day"/>
    <n v="3"/>
    <n v="16386"/>
    <n v="0.05"/>
    <n v="46700"/>
    <n v="6416"/>
  </r>
  <r>
    <n v="1072"/>
    <s v="2026-08-21"/>
    <x v="1"/>
    <s v="Mumbai"/>
    <x v="3"/>
    <s v="Notebook"/>
    <s v="Home Office"/>
    <s v="Neha"/>
    <s v="Standard"/>
    <n v="3"/>
    <n v="1241"/>
    <n v="0"/>
    <n v="3723"/>
    <n v="287"/>
  </r>
  <r>
    <n v="1074"/>
    <s v="2026-08-21"/>
    <x v="2"/>
    <s v="Bhubaneswar"/>
    <x v="1"/>
    <s v="Shoes"/>
    <s v="Consumer"/>
    <s v="Pooja"/>
    <s v="Express"/>
    <n v="2"/>
    <n v="652"/>
    <n v="0.05"/>
    <n v="1239"/>
    <n v="105"/>
  </r>
  <r>
    <n v="1139"/>
    <s v="2026-08-21"/>
    <x v="0"/>
    <s v="Chennai"/>
    <x v="2"/>
    <s v="Chair"/>
    <s v="Corporate"/>
    <s v="Anita"/>
    <s v="Express"/>
    <n v="7"/>
    <n v="19232"/>
    <n v="0"/>
    <n v="134624"/>
    <n v="7105"/>
  </r>
  <r>
    <n v="1031"/>
    <s v="2026-08-22"/>
    <x v="1"/>
    <s v="Ahmedabad"/>
    <x v="1"/>
    <s v="Shirt"/>
    <s v="Home Office"/>
    <s v="Sanjay"/>
    <s v="Standard"/>
    <n v="4"/>
    <n v="1420"/>
    <n v="0"/>
    <n v="5680"/>
    <n v="326"/>
  </r>
  <r>
    <n v="1057"/>
    <s v="2026-08-25"/>
    <x v="2"/>
    <s v="Bhubaneswar"/>
    <x v="0"/>
    <s v="Tablet"/>
    <s v="Home Office"/>
    <s v="Anita"/>
    <s v="Same Day"/>
    <n v="2"/>
    <n v="28612"/>
    <n v="0.2"/>
    <n v="45779"/>
    <n v="7840"/>
  </r>
  <r>
    <n v="1143"/>
    <s v="2026-08-30"/>
    <x v="1"/>
    <s v="Ahmedabad"/>
    <x v="0"/>
    <s v="Headphones"/>
    <s v="Corporate"/>
    <s v="Pooja"/>
    <s v="Express"/>
    <n v="6"/>
    <n v="48280"/>
    <n v="0.05"/>
    <n v="275196"/>
    <n v="26407"/>
  </r>
  <r>
    <n v="1082"/>
    <s v="2026-08-31"/>
    <x v="2"/>
    <s v="Patna"/>
    <x v="2"/>
    <s v="Bookshelf"/>
    <s v="Consumer"/>
    <s v="Neha"/>
    <s v="Same Day"/>
    <n v="6"/>
    <n v="16065"/>
    <n v="0"/>
    <n v="96390"/>
    <n v="17160"/>
  </r>
  <r>
    <n v="1061"/>
    <s v="2026-09-05"/>
    <x v="3"/>
    <s v="Lucknow"/>
    <x v="3"/>
    <s v="Backpack"/>
    <s v="Corporate"/>
    <s v="Vikram"/>
    <s v="Same Day"/>
    <n v="5"/>
    <n v="1302"/>
    <n v="0.1"/>
    <n v="5859"/>
    <n v="2049"/>
  </r>
  <r>
    <n v="1088"/>
    <s v="2026-09-07"/>
    <x v="1"/>
    <s v="Pune"/>
    <x v="3"/>
    <s v="Diary"/>
    <s v="Home Office"/>
    <s v="Rakesh"/>
    <s v="Same Day"/>
    <n v="8"/>
    <n v="1149"/>
    <n v="0"/>
    <n v="9192"/>
    <n v="1411"/>
  </r>
  <r>
    <n v="1045"/>
    <s v="2026-09-09"/>
    <x v="1"/>
    <s v="Pune"/>
    <x v="1"/>
    <s v="Jacket"/>
    <s v="Home Office"/>
    <s v="Vikram"/>
    <s v="Express"/>
    <n v="1"/>
    <n v="850"/>
    <n v="0.15"/>
    <n v="722"/>
    <n v="124"/>
  </r>
  <r>
    <n v="1093"/>
    <s v="2026-09-10"/>
    <x v="1"/>
    <s v="Ahmedabad"/>
    <x v="2"/>
    <s v="Table"/>
    <s v="Consumer"/>
    <s v="Anita"/>
    <s v="Same Day"/>
    <n v="2"/>
    <n v="11387"/>
    <n v="0.1"/>
    <n v="20497"/>
    <n v="1965"/>
  </r>
  <r>
    <n v="1069"/>
    <s v="2026-09-12"/>
    <x v="1"/>
    <s v="Ahmedabad"/>
    <x v="1"/>
    <s v="Jacket"/>
    <s v="Home Office"/>
    <s v="Anita"/>
    <s v="Same Day"/>
    <n v="1"/>
    <n v="1624"/>
    <n v="0.1"/>
    <n v="1462"/>
    <n v="453"/>
  </r>
  <r>
    <n v="1089"/>
    <s v="2026-09-12"/>
    <x v="1"/>
    <s v="Mumbai"/>
    <x v="2"/>
    <s v="Bookshelf"/>
    <s v="Consumer"/>
    <s v="Neha"/>
    <s v="Standard"/>
    <n v="1"/>
    <n v="9698"/>
    <n v="0.2"/>
    <n v="7758"/>
    <n v="707"/>
  </r>
  <r>
    <n v="1120"/>
    <s v="2026-09-15"/>
    <x v="0"/>
    <s v="Chennai"/>
    <x v="0"/>
    <s v="Tablet"/>
    <s v="Consumer"/>
    <s v="Vikram"/>
    <s v="Express"/>
    <n v="8"/>
    <n v="52571"/>
    <n v="0.2"/>
    <n v="336454"/>
    <n v="95579"/>
  </r>
  <r>
    <n v="1142"/>
    <s v="2026-09-15"/>
    <x v="2"/>
    <s v="Patna"/>
    <x v="1"/>
    <s v="Jacket"/>
    <s v="Corporate"/>
    <s v="Vikram"/>
    <s v="Same Day"/>
    <n v="1"/>
    <n v="1972"/>
    <n v="0"/>
    <n v="1972"/>
    <n v="494"/>
  </r>
  <r>
    <n v="1033"/>
    <s v="2026-09-16"/>
    <x v="2"/>
    <s v="Kolkata"/>
    <x v="2"/>
    <s v="Chair"/>
    <s v="Home Office"/>
    <s v="Sanjay"/>
    <s v="Same Day"/>
    <n v="8"/>
    <n v="18225"/>
    <n v="0.1"/>
    <n v="131220"/>
    <n v="19052"/>
  </r>
  <r>
    <n v="1096"/>
    <s v="2026-09-16"/>
    <x v="2"/>
    <s v="Bhubaneswar"/>
    <x v="0"/>
    <s v="Tablet"/>
    <s v="Home Office"/>
    <s v="Neha"/>
    <s v="Standard"/>
    <n v="4"/>
    <n v="29071"/>
    <n v="0"/>
    <n v="116284"/>
    <n v="39225"/>
  </r>
  <r>
    <n v="1126"/>
    <s v="2026-09-16"/>
    <x v="0"/>
    <s v="Bangalore"/>
    <x v="1"/>
    <s v="Jacket"/>
    <s v="Consumer"/>
    <s v="Anita"/>
    <s v="Express"/>
    <n v="4"/>
    <n v="2540"/>
    <n v="0.05"/>
    <n v="9652"/>
    <n v="1927"/>
  </r>
  <r>
    <n v="1094"/>
    <s v="2026-09-17"/>
    <x v="2"/>
    <s v="Bhubaneswar"/>
    <x v="3"/>
    <s v="Backpack"/>
    <s v="Consumer"/>
    <s v="Pooja"/>
    <s v="Express"/>
    <n v="6"/>
    <n v="1060"/>
    <n v="0.05"/>
    <n v="6042"/>
    <n v="1447"/>
  </r>
  <r>
    <n v="1100"/>
    <s v="2026-09-27"/>
    <x v="1"/>
    <s v="Mumbai"/>
    <x v="1"/>
    <s v="Jacket"/>
    <s v="Consumer"/>
    <s v="Neha"/>
    <s v="Same Day"/>
    <n v="3"/>
    <n v="2491"/>
    <n v="0"/>
    <n v="7473"/>
    <n v="2615"/>
  </r>
  <r>
    <n v="1133"/>
    <s v="2026-09-27"/>
    <x v="1"/>
    <s v="Pune"/>
    <x v="2"/>
    <s v="Bookshelf"/>
    <s v="Home Office"/>
    <s v="Neha"/>
    <s v="Express"/>
    <n v="4"/>
    <n v="19443"/>
    <n v="0.15"/>
    <n v="66106"/>
    <n v="604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785A8D-1B31-437C-9821-DE2B404F10AE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14">
    <pivotField showAll="0"/>
    <pivotField showAll="0"/>
    <pivotField showAll="0">
      <items count="5">
        <item x="2"/>
        <item x="3"/>
        <item x="0"/>
        <item x="1"/>
        <item t="default"/>
      </items>
    </pivotField>
    <pivotField showAll="0"/>
    <pivotField axis="axisRow" showAll="0" sortType="descending">
      <items count="5">
        <item x="1"/>
        <item x="0"/>
        <item x="2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4"/>
  </rowFields>
  <rowItems count="5">
    <i>
      <x v="1"/>
    </i>
    <i>
      <x v="2"/>
    </i>
    <i>
      <x/>
    </i>
    <i>
      <x v="3"/>
    </i>
    <i t="grand">
      <x/>
    </i>
  </rowItems>
  <colItems count="1">
    <i/>
  </colItems>
  <dataFields count="1">
    <dataField name="Sum of Profit" fld="1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10632-1BD1-40F3-9E73-B586CED5D861}">
  <dimension ref="A3:B8"/>
  <sheetViews>
    <sheetView workbookViewId="0">
      <selection activeCell="B4" sqref="B4"/>
    </sheetView>
  </sheetViews>
  <sheetFormatPr defaultRowHeight="14.4" x14ac:dyDescent="0.3"/>
  <cols>
    <col min="1" max="1" width="12.5546875" bestFit="1" customWidth="1"/>
    <col min="2" max="3" width="12.109375" bestFit="1" customWidth="1"/>
  </cols>
  <sheetData>
    <row r="3" spans="1:2" x14ac:dyDescent="0.3">
      <c r="A3" s="3" t="s">
        <v>175</v>
      </c>
      <c r="B3" t="s">
        <v>177</v>
      </c>
    </row>
    <row r="4" spans="1:2" x14ac:dyDescent="0.3">
      <c r="A4" s="4" t="s">
        <v>17</v>
      </c>
      <c r="B4" s="5">
        <v>775405</v>
      </c>
    </row>
    <row r="5" spans="1:2" x14ac:dyDescent="0.3">
      <c r="A5" s="4" t="s">
        <v>42</v>
      </c>
      <c r="B5" s="5">
        <v>338190</v>
      </c>
    </row>
    <row r="6" spans="1:2" x14ac:dyDescent="0.3">
      <c r="A6" s="4" t="s">
        <v>24</v>
      </c>
      <c r="B6" s="5">
        <v>59039</v>
      </c>
    </row>
    <row r="7" spans="1:2" x14ac:dyDescent="0.3">
      <c r="A7" s="4" t="s">
        <v>50</v>
      </c>
      <c r="B7" s="5">
        <v>24906</v>
      </c>
    </row>
    <row r="8" spans="1:2" x14ac:dyDescent="0.3">
      <c r="A8" s="4" t="s">
        <v>176</v>
      </c>
      <c r="B8" s="5">
        <v>1197540</v>
      </c>
    </row>
  </sheetData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51"/>
  <sheetViews>
    <sheetView tabSelected="1" workbookViewId="0">
      <selection activeCell="Q4" sqref="Q4"/>
    </sheetView>
  </sheetViews>
  <sheetFormatPr defaultRowHeight="14.4" x14ac:dyDescent="0.3"/>
  <cols>
    <col min="1" max="1" width="10" customWidth="1"/>
    <col min="2" max="2" width="13" customWidth="1"/>
    <col min="3" max="3" width="9" customWidth="1"/>
    <col min="4" max="5" width="14" customWidth="1"/>
    <col min="6" max="6" width="13" customWidth="1"/>
    <col min="7" max="7" width="14" customWidth="1"/>
    <col min="8" max="10" width="11" customWidth="1"/>
    <col min="11" max="11" width="12" customWidth="1"/>
    <col min="12" max="12" width="11" customWidth="1"/>
    <col min="13" max="14" width="9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7" x14ac:dyDescent="0.3">
      <c r="A2" s="2">
        <v>1009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>
        <v>3</v>
      </c>
      <c r="K2" s="2">
        <v>41271</v>
      </c>
      <c r="L2" s="2">
        <v>0.1</v>
      </c>
      <c r="M2" s="2">
        <v>111432</v>
      </c>
      <c r="N2" s="2">
        <v>25929</v>
      </c>
      <c r="Q2">
        <f>SUMIFS(N2:N151,C2:C151,"North")</f>
        <v>225659</v>
      </c>
    </row>
    <row r="3" spans="1:17" x14ac:dyDescent="0.3">
      <c r="A3" s="2">
        <v>1029</v>
      </c>
      <c r="B3" s="2" t="s">
        <v>14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27</v>
      </c>
      <c r="I3" s="2" t="s">
        <v>21</v>
      </c>
      <c r="J3" s="2">
        <v>4</v>
      </c>
      <c r="K3" s="2">
        <v>2052</v>
      </c>
      <c r="L3" s="2">
        <v>0.15</v>
      </c>
      <c r="M3" s="2">
        <v>6977</v>
      </c>
      <c r="N3" s="2">
        <v>2239</v>
      </c>
      <c r="Q3">
        <f>COUNTIFS(N2:N151,"&lt;0")</f>
        <v>14</v>
      </c>
    </row>
    <row r="4" spans="1:17" x14ac:dyDescent="0.3">
      <c r="A4" s="2">
        <v>1036</v>
      </c>
      <c r="B4" s="2" t="s">
        <v>28</v>
      </c>
      <c r="C4" s="2" t="s">
        <v>29</v>
      </c>
      <c r="D4" s="2" t="s">
        <v>30</v>
      </c>
      <c r="E4" s="2" t="s">
        <v>24</v>
      </c>
      <c r="F4" s="2" t="s">
        <v>31</v>
      </c>
      <c r="G4" s="2" t="s">
        <v>26</v>
      </c>
      <c r="H4" s="2" t="s">
        <v>32</v>
      </c>
      <c r="I4" s="2" t="s">
        <v>33</v>
      </c>
      <c r="J4" s="2">
        <v>7</v>
      </c>
      <c r="K4" s="2">
        <v>2220</v>
      </c>
      <c r="L4" s="2">
        <v>0.2</v>
      </c>
      <c r="M4" s="2">
        <v>12432</v>
      </c>
      <c r="N4" s="2">
        <v>2800</v>
      </c>
      <c r="Q4">
        <f>AVERAGEIFS(M2:M151,H2:H151,"Vikram")</f>
        <v>87571.238095238092</v>
      </c>
    </row>
    <row r="5" spans="1:17" x14ac:dyDescent="0.3">
      <c r="A5" s="2">
        <v>1019</v>
      </c>
      <c r="B5" s="2" t="s">
        <v>34</v>
      </c>
      <c r="C5" s="2" t="s">
        <v>35</v>
      </c>
      <c r="D5" s="2" t="s">
        <v>36</v>
      </c>
      <c r="E5" s="2" t="s">
        <v>24</v>
      </c>
      <c r="F5" s="2" t="s">
        <v>37</v>
      </c>
      <c r="G5" s="2" t="s">
        <v>26</v>
      </c>
      <c r="H5" s="2" t="s">
        <v>38</v>
      </c>
      <c r="I5" s="2" t="s">
        <v>39</v>
      </c>
      <c r="J5" s="2">
        <v>4</v>
      </c>
      <c r="K5" s="2">
        <v>1477</v>
      </c>
      <c r="L5" s="2">
        <v>0.05</v>
      </c>
      <c r="M5" s="2">
        <v>5613</v>
      </c>
      <c r="N5" s="2">
        <v>501</v>
      </c>
    </row>
    <row r="6" spans="1:17" x14ac:dyDescent="0.3">
      <c r="A6" s="2">
        <v>1063</v>
      </c>
      <c r="B6" s="2" t="s">
        <v>40</v>
      </c>
      <c r="C6" s="2" t="s">
        <v>29</v>
      </c>
      <c r="D6" s="2" t="s">
        <v>41</v>
      </c>
      <c r="E6" s="2" t="s">
        <v>42</v>
      </c>
      <c r="F6" s="2" t="s">
        <v>43</v>
      </c>
      <c r="G6" s="2" t="s">
        <v>19</v>
      </c>
      <c r="H6" s="2" t="s">
        <v>44</v>
      </c>
      <c r="I6" s="2" t="s">
        <v>33</v>
      </c>
      <c r="J6" s="2">
        <v>1</v>
      </c>
      <c r="K6" s="2">
        <v>19459</v>
      </c>
      <c r="L6" s="2">
        <v>0.2</v>
      </c>
      <c r="M6" s="2">
        <v>15567</v>
      </c>
      <c r="N6" s="2">
        <v>1247</v>
      </c>
    </row>
    <row r="7" spans="1:17" x14ac:dyDescent="0.3">
      <c r="A7" s="2">
        <v>1107</v>
      </c>
      <c r="B7" s="2" t="s">
        <v>45</v>
      </c>
      <c r="C7" s="2" t="s">
        <v>35</v>
      </c>
      <c r="D7" s="2" t="s">
        <v>36</v>
      </c>
      <c r="E7" s="2" t="s">
        <v>42</v>
      </c>
      <c r="F7" s="2" t="s">
        <v>46</v>
      </c>
      <c r="G7" s="2" t="s">
        <v>19</v>
      </c>
      <c r="H7" s="2" t="s">
        <v>38</v>
      </c>
      <c r="I7" s="2" t="s">
        <v>21</v>
      </c>
      <c r="J7" s="2">
        <v>2</v>
      </c>
      <c r="K7" s="2">
        <v>10813</v>
      </c>
      <c r="L7" s="2">
        <v>0.2</v>
      </c>
      <c r="M7" s="2">
        <v>17301</v>
      </c>
      <c r="N7" s="2">
        <v>-1504</v>
      </c>
    </row>
    <row r="8" spans="1:17" x14ac:dyDescent="0.3">
      <c r="A8" s="2">
        <v>1118</v>
      </c>
      <c r="B8" s="2" t="s">
        <v>47</v>
      </c>
      <c r="C8" s="2" t="s">
        <v>22</v>
      </c>
      <c r="D8" s="2" t="s">
        <v>48</v>
      </c>
      <c r="E8" s="2" t="s">
        <v>17</v>
      </c>
      <c r="F8" s="2" t="s">
        <v>18</v>
      </c>
      <c r="G8" s="2" t="s">
        <v>49</v>
      </c>
      <c r="H8" s="2" t="s">
        <v>20</v>
      </c>
      <c r="I8" s="2" t="s">
        <v>33</v>
      </c>
      <c r="J8" s="2">
        <v>5</v>
      </c>
      <c r="K8" s="2">
        <v>18322</v>
      </c>
      <c r="L8" s="2">
        <v>0.1</v>
      </c>
      <c r="M8" s="2">
        <v>82449</v>
      </c>
      <c r="N8" s="2">
        <v>9669</v>
      </c>
    </row>
    <row r="9" spans="1:17" x14ac:dyDescent="0.3">
      <c r="A9" s="2">
        <v>1131</v>
      </c>
      <c r="B9" s="2" t="s">
        <v>47</v>
      </c>
      <c r="C9" s="2" t="s">
        <v>22</v>
      </c>
      <c r="D9" s="2" t="s">
        <v>48</v>
      </c>
      <c r="E9" s="2" t="s">
        <v>50</v>
      </c>
      <c r="F9" s="2" t="s">
        <v>51</v>
      </c>
      <c r="G9" s="2" t="s">
        <v>19</v>
      </c>
      <c r="H9" s="2" t="s">
        <v>52</v>
      </c>
      <c r="I9" s="2" t="s">
        <v>21</v>
      </c>
      <c r="J9" s="2">
        <v>8</v>
      </c>
      <c r="K9" s="2">
        <v>1479</v>
      </c>
      <c r="L9" s="2">
        <v>0</v>
      </c>
      <c r="M9" s="2">
        <v>11832</v>
      </c>
      <c r="N9" s="2">
        <v>4070</v>
      </c>
    </row>
    <row r="10" spans="1:17" x14ac:dyDescent="0.3">
      <c r="A10" s="2">
        <v>1122</v>
      </c>
      <c r="B10" s="2" t="s">
        <v>53</v>
      </c>
      <c r="C10" s="2" t="s">
        <v>15</v>
      </c>
      <c r="D10" s="2" t="s">
        <v>54</v>
      </c>
      <c r="E10" s="2" t="s">
        <v>24</v>
      </c>
      <c r="F10" s="2" t="s">
        <v>55</v>
      </c>
      <c r="G10" s="2" t="s">
        <v>19</v>
      </c>
      <c r="H10" s="2" t="s">
        <v>27</v>
      </c>
      <c r="I10" s="2" t="s">
        <v>39</v>
      </c>
      <c r="J10" s="2">
        <v>3</v>
      </c>
      <c r="K10" s="2">
        <v>1131</v>
      </c>
      <c r="L10" s="2">
        <v>0.15</v>
      </c>
      <c r="M10" s="2">
        <v>2884</v>
      </c>
      <c r="N10" s="2">
        <v>684</v>
      </c>
    </row>
    <row r="11" spans="1:17" x14ac:dyDescent="0.3">
      <c r="A11" s="2">
        <v>1114</v>
      </c>
      <c r="B11" s="2" t="s">
        <v>56</v>
      </c>
      <c r="C11" s="2" t="s">
        <v>22</v>
      </c>
      <c r="D11" s="2" t="s">
        <v>23</v>
      </c>
      <c r="E11" s="2" t="s">
        <v>17</v>
      </c>
      <c r="F11" s="2" t="s">
        <v>18</v>
      </c>
      <c r="G11" s="2" t="s">
        <v>19</v>
      </c>
      <c r="H11" s="2" t="s">
        <v>52</v>
      </c>
      <c r="I11" s="2" t="s">
        <v>39</v>
      </c>
      <c r="J11" s="2">
        <v>7</v>
      </c>
      <c r="K11" s="2">
        <v>25993</v>
      </c>
      <c r="L11" s="2">
        <v>0.15</v>
      </c>
      <c r="M11" s="2">
        <v>154658</v>
      </c>
      <c r="N11" s="2">
        <v>37312</v>
      </c>
    </row>
    <row r="12" spans="1:17" x14ac:dyDescent="0.3">
      <c r="A12" s="2">
        <v>1138</v>
      </c>
      <c r="B12" s="2" t="s">
        <v>57</v>
      </c>
      <c r="C12" s="2" t="s">
        <v>35</v>
      </c>
      <c r="D12" s="2" t="s">
        <v>58</v>
      </c>
      <c r="E12" s="2" t="s">
        <v>42</v>
      </c>
      <c r="F12" s="2" t="s">
        <v>43</v>
      </c>
      <c r="G12" s="2" t="s">
        <v>19</v>
      </c>
      <c r="H12" s="2" t="s">
        <v>52</v>
      </c>
      <c r="I12" s="2" t="s">
        <v>39</v>
      </c>
      <c r="J12" s="2">
        <v>8</v>
      </c>
      <c r="K12" s="2">
        <v>24316</v>
      </c>
      <c r="L12" s="2">
        <v>0</v>
      </c>
      <c r="M12" s="2">
        <v>194528</v>
      </c>
      <c r="N12" s="2">
        <v>-15854</v>
      </c>
    </row>
    <row r="13" spans="1:17" x14ac:dyDescent="0.3">
      <c r="A13" s="2">
        <v>1018</v>
      </c>
      <c r="B13" s="2" t="s">
        <v>59</v>
      </c>
      <c r="C13" s="2" t="s">
        <v>29</v>
      </c>
      <c r="D13" s="2" t="s">
        <v>41</v>
      </c>
      <c r="E13" s="2" t="s">
        <v>42</v>
      </c>
      <c r="F13" s="2" t="s">
        <v>60</v>
      </c>
      <c r="G13" s="2" t="s">
        <v>49</v>
      </c>
      <c r="H13" s="2" t="s">
        <v>32</v>
      </c>
      <c r="I13" s="2" t="s">
        <v>21</v>
      </c>
      <c r="J13" s="2">
        <v>2</v>
      </c>
      <c r="K13" s="2">
        <v>5245</v>
      </c>
      <c r="L13" s="2">
        <v>0.15</v>
      </c>
      <c r="M13" s="2">
        <v>8916</v>
      </c>
      <c r="N13" s="2">
        <v>2751</v>
      </c>
    </row>
    <row r="14" spans="1:17" x14ac:dyDescent="0.3">
      <c r="A14" s="2">
        <v>1129</v>
      </c>
      <c r="B14" s="2" t="s">
        <v>59</v>
      </c>
      <c r="C14" s="2" t="s">
        <v>22</v>
      </c>
      <c r="D14" s="2" t="s">
        <v>48</v>
      </c>
      <c r="E14" s="2" t="s">
        <v>17</v>
      </c>
      <c r="F14" s="2" t="s">
        <v>61</v>
      </c>
      <c r="G14" s="2" t="s">
        <v>26</v>
      </c>
      <c r="H14" s="2" t="s">
        <v>32</v>
      </c>
      <c r="I14" s="2" t="s">
        <v>21</v>
      </c>
      <c r="J14" s="2">
        <v>2</v>
      </c>
      <c r="K14" s="2">
        <v>33814</v>
      </c>
      <c r="L14" s="2">
        <v>0</v>
      </c>
      <c r="M14" s="2">
        <v>67628</v>
      </c>
      <c r="N14" s="2">
        <v>18698</v>
      </c>
    </row>
    <row r="15" spans="1:17" x14ac:dyDescent="0.3">
      <c r="A15" s="2">
        <v>1079</v>
      </c>
      <c r="B15" s="2" t="s">
        <v>62</v>
      </c>
      <c r="C15" s="2" t="s">
        <v>22</v>
      </c>
      <c r="D15" s="2" t="s">
        <v>63</v>
      </c>
      <c r="E15" s="2" t="s">
        <v>42</v>
      </c>
      <c r="F15" s="2" t="s">
        <v>43</v>
      </c>
      <c r="G15" s="2" t="s">
        <v>19</v>
      </c>
      <c r="H15" s="2" t="s">
        <v>38</v>
      </c>
      <c r="I15" s="2" t="s">
        <v>39</v>
      </c>
      <c r="J15" s="2">
        <v>2</v>
      </c>
      <c r="K15" s="2">
        <v>5082</v>
      </c>
      <c r="L15" s="2">
        <v>0.2</v>
      </c>
      <c r="M15" s="2">
        <v>8131</v>
      </c>
      <c r="N15" s="2">
        <v>1290</v>
      </c>
    </row>
    <row r="16" spans="1:17" x14ac:dyDescent="0.3">
      <c r="A16" s="2">
        <v>1017</v>
      </c>
      <c r="B16" s="2" t="s">
        <v>64</v>
      </c>
      <c r="C16" s="2" t="s">
        <v>22</v>
      </c>
      <c r="D16" s="2" t="s">
        <v>23</v>
      </c>
      <c r="E16" s="2" t="s">
        <v>24</v>
      </c>
      <c r="F16" s="2" t="s">
        <v>31</v>
      </c>
      <c r="G16" s="2" t="s">
        <v>26</v>
      </c>
      <c r="H16" s="2" t="s">
        <v>52</v>
      </c>
      <c r="I16" s="2" t="s">
        <v>39</v>
      </c>
      <c r="J16" s="2">
        <v>8</v>
      </c>
      <c r="K16" s="2">
        <v>1715</v>
      </c>
      <c r="L16" s="2">
        <v>0</v>
      </c>
      <c r="M16" s="2">
        <v>13720</v>
      </c>
      <c r="N16" s="2">
        <v>3070</v>
      </c>
    </row>
    <row r="17" spans="1:14" x14ac:dyDescent="0.3">
      <c r="A17" s="2">
        <v>1097</v>
      </c>
      <c r="B17" s="2" t="s">
        <v>65</v>
      </c>
      <c r="C17" s="2" t="s">
        <v>15</v>
      </c>
      <c r="D17" s="2" t="s">
        <v>66</v>
      </c>
      <c r="E17" s="2" t="s">
        <v>42</v>
      </c>
      <c r="F17" s="2" t="s">
        <v>43</v>
      </c>
      <c r="G17" s="2" t="s">
        <v>26</v>
      </c>
      <c r="H17" s="2" t="s">
        <v>38</v>
      </c>
      <c r="I17" s="2" t="s">
        <v>21</v>
      </c>
      <c r="J17" s="2">
        <v>8</v>
      </c>
      <c r="K17" s="2">
        <v>20129</v>
      </c>
      <c r="L17" s="2">
        <v>0</v>
      </c>
      <c r="M17" s="2">
        <v>161032</v>
      </c>
      <c r="N17" s="2">
        <v>26064</v>
      </c>
    </row>
    <row r="18" spans="1:14" x14ac:dyDescent="0.3">
      <c r="A18" s="2">
        <v>1145</v>
      </c>
      <c r="B18" s="2" t="s">
        <v>67</v>
      </c>
      <c r="C18" s="2" t="s">
        <v>22</v>
      </c>
      <c r="D18" s="2" t="s">
        <v>48</v>
      </c>
      <c r="E18" s="2" t="s">
        <v>50</v>
      </c>
      <c r="F18" s="2" t="s">
        <v>68</v>
      </c>
      <c r="G18" s="2" t="s">
        <v>26</v>
      </c>
      <c r="H18" s="2" t="s">
        <v>38</v>
      </c>
      <c r="I18" s="2" t="s">
        <v>21</v>
      </c>
      <c r="J18" s="2">
        <v>4</v>
      </c>
      <c r="K18" s="2">
        <v>286</v>
      </c>
      <c r="L18" s="2">
        <v>0.1</v>
      </c>
      <c r="M18" s="2">
        <v>1030</v>
      </c>
      <c r="N18" s="2">
        <v>-31</v>
      </c>
    </row>
    <row r="19" spans="1:14" x14ac:dyDescent="0.3">
      <c r="A19" s="2">
        <v>1012</v>
      </c>
      <c r="B19" s="2" t="s">
        <v>69</v>
      </c>
      <c r="C19" s="2" t="s">
        <v>29</v>
      </c>
      <c r="D19" s="2" t="s">
        <v>41</v>
      </c>
      <c r="E19" s="2" t="s">
        <v>50</v>
      </c>
      <c r="F19" s="2" t="s">
        <v>68</v>
      </c>
      <c r="G19" s="2" t="s">
        <v>49</v>
      </c>
      <c r="H19" s="2" t="s">
        <v>44</v>
      </c>
      <c r="I19" s="2" t="s">
        <v>21</v>
      </c>
      <c r="J19" s="2">
        <v>4</v>
      </c>
      <c r="K19" s="2">
        <v>143</v>
      </c>
      <c r="L19" s="2">
        <v>0.1</v>
      </c>
      <c r="M19" s="2">
        <v>515</v>
      </c>
      <c r="N19" s="2">
        <v>111</v>
      </c>
    </row>
    <row r="20" spans="1:14" x14ac:dyDescent="0.3">
      <c r="A20" s="2">
        <v>1035</v>
      </c>
      <c r="B20" s="2" t="s">
        <v>70</v>
      </c>
      <c r="C20" s="2" t="s">
        <v>35</v>
      </c>
      <c r="D20" s="2" t="s">
        <v>58</v>
      </c>
      <c r="E20" s="2" t="s">
        <v>24</v>
      </c>
      <c r="F20" s="2" t="s">
        <v>25</v>
      </c>
      <c r="G20" s="2" t="s">
        <v>19</v>
      </c>
      <c r="H20" s="2" t="s">
        <v>20</v>
      </c>
      <c r="I20" s="2" t="s">
        <v>39</v>
      </c>
      <c r="J20" s="2">
        <v>5</v>
      </c>
      <c r="K20" s="2">
        <v>2712</v>
      </c>
      <c r="L20" s="2">
        <v>0</v>
      </c>
      <c r="M20" s="2">
        <v>13560</v>
      </c>
      <c r="N20" s="2">
        <v>1292</v>
      </c>
    </row>
    <row r="21" spans="1:14" x14ac:dyDescent="0.3">
      <c r="A21" s="2">
        <v>1073</v>
      </c>
      <c r="B21" s="2" t="s">
        <v>70</v>
      </c>
      <c r="C21" s="2" t="s">
        <v>22</v>
      </c>
      <c r="D21" s="2" t="s">
        <v>48</v>
      </c>
      <c r="E21" s="2" t="s">
        <v>24</v>
      </c>
      <c r="F21" s="2" t="s">
        <v>31</v>
      </c>
      <c r="G21" s="2" t="s">
        <v>49</v>
      </c>
      <c r="H21" s="2" t="s">
        <v>32</v>
      </c>
      <c r="I21" s="2" t="s">
        <v>21</v>
      </c>
      <c r="J21" s="2">
        <v>6</v>
      </c>
      <c r="K21" s="2">
        <v>2431</v>
      </c>
      <c r="L21" s="2">
        <v>0.1</v>
      </c>
      <c r="M21" s="2">
        <v>13127</v>
      </c>
      <c r="N21" s="2">
        <v>4139</v>
      </c>
    </row>
    <row r="22" spans="1:14" x14ac:dyDescent="0.3">
      <c r="A22" s="2">
        <v>1049</v>
      </c>
      <c r="B22" s="2" t="s">
        <v>71</v>
      </c>
      <c r="C22" s="2" t="s">
        <v>15</v>
      </c>
      <c r="D22" s="2" t="s">
        <v>54</v>
      </c>
      <c r="E22" s="2" t="s">
        <v>50</v>
      </c>
      <c r="F22" s="2" t="s">
        <v>68</v>
      </c>
      <c r="G22" s="2" t="s">
        <v>26</v>
      </c>
      <c r="H22" s="2" t="s">
        <v>27</v>
      </c>
      <c r="I22" s="2" t="s">
        <v>39</v>
      </c>
      <c r="J22" s="2">
        <v>1</v>
      </c>
      <c r="K22" s="2">
        <v>1080</v>
      </c>
      <c r="L22" s="2">
        <v>0.05</v>
      </c>
      <c r="M22" s="2">
        <v>1026</v>
      </c>
      <c r="N22" s="2">
        <v>156</v>
      </c>
    </row>
    <row r="23" spans="1:14" x14ac:dyDescent="0.3">
      <c r="A23" s="2">
        <v>1108</v>
      </c>
      <c r="B23" s="2" t="s">
        <v>72</v>
      </c>
      <c r="C23" s="2" t="s">
        <v>15</v>
      </c>
      <c r="D23" s="2" t="s">
        <v>54</v>
      </c>
      <c r="E23" s="2" t="s">
        <v>42</v>
      </c>
      <c r="F23" s="2" t="s">
        <v>46</v>
      </c>
      <c r="G23" s="2" t="s">
        <v>19</v>
      </c>
      <c r="H23" s="2" t="s">
        <v>44</v>
      </c>
      <c r="I23" s="2" t="s">
        <v>33</v>
      </c>
      <c r="J23" s="2">
        <v>7</v>
      </c>
      <c r="K23" s="2">
        <v>23146</v>
      </c>
      <c r="L23" s="2">
        <v>0.1</v>
      </c>
      <c r="M23" s="2">
        <v>145820</v>
      </c>
      <c r="N23" s="2">
        <v>25514</v>
      </c>
    </row>
    <row r="24" spans="1:14" x14ac:dyDescent="0.3">
      <c r="A24" s="2">
        <v>1149</v>
      </c>
      <c r="B24" s="2" t="s">
        <v>72</v>
      </c>
      <c r="C24" s="2" t="s">
        <v>15</v>
      </c>
      <c r="D24" s="2" t="s">
        <v>16</v>
      </c>
      <c r="E24" s="2" t="s">
        <v>24</v>
      </c>
      <c r="F24" s="2" t="s">
        <v>25</v>
      </c>
      <c r="G24" s="2" t="s">
        <v>49</v>
      </c>
      <c r="H24" s="2" t="s">
        <v>44</v>
      </c>
      <c r="I24" s="2" t="s">
        <v>39</v>
      </c>
      <c r="J24" s="2">
        <v>5</v>
      </c>
      <c r="K24" s="2">
        <v>631</v>
      </c>
      <c r="L24" s="2">
        <v>0.05</v>
      </c>
      <c r="M24" s="2">
        <v>2997</v>
      </c>
      <c r="N24" s="2">
        <v>703</v>
      </c>
    </row>
    <row r="25" spans="1:14" x14ac:dyDescent="0.3">
      <c r="A25" s="2">
        <v>1146</v>
      </c>
      <c r="B25" s="2" t="s">
        <v>73</v>
      </c>
      <c r="C25" s="2" t="s">
        <v>29</v>
      </c>
      <c r="D25" s="2" t="s">
        <v>41</v>
      </c>
      <c r="E25" s="2" t="s">
        <v>24</v>
      </c>
      <c r="F25" s="2" t="s">
        <v>55</v>
      </c>
      <c r="G25" s="2" t="s">
        <v>19</v>
      </c>
      <c r="H25" s="2" t="s">
        <v>44</v>
      </c>
      <c r="I25" s="2" t="s">
        <v>39</v>
      </c>
      <c r="J25" s="2">
        <v>7</v>
      </c>
      <c r="K25" s="2">
        <v>1392</v>
      </c>
      <c r="L25" s="2">
        <v>0</v>
      </c>
      <c r="M25" s="2">
        <v>9744</v>
      </c>
      <c r="N25" s="2">
        <v>620</v>
      </c>
    </row>
    <row r="26" spans="1:14" x14ac:dyDescent="0.3">
      <c r="A26" s="2">
        <v>1119</v>
      </c>
      <c r="B26" s="2" t="s">
        <v>74</v>
      </c>
      <c r="C26" s="2" t="s">
        <v>22</v>
      </c>
      <c r="D26" s="2" t="s">
        <v>48</v>
      </c>
      <c r="E26" s="2" t="s">
        <v>24</v>
      </c>
      <c r="F26" s="2" t="s">
        <v>31</v>
      </c>
      <c r="G26" s="2" t="s">
        <v>26</v>
      </c>
      <c r="H26" s="2" t="s">
        <v>32</v>
      </c>
      <c r="I26" s="2" t="s">
        <v>33</v>
      </c>
      <c r="J26" s="2">
        <v>3</v>
      </c>
      <c r="K26" s="2">
        <v>769</v>
      </c>
      <c r="L26" s="2">
        <v>0.05</v>
      </c>
      <c r="M26" s="2">
        <v>2192</v>
      </c>
      <c r="N26" s="2">
        <v>767</v>
      </c>
    </row>
    <row r="27" spans="1:14" x14ac:dyDescent="0.3">
      <c r="A27" s="2">
        <v>1051</v>
      </c>
      <c r="B27" s="2" t="s">
        <v>75</v>
      </c>
      <c r="C27" s="2" t="s">
        <v>29</v>
      </c>
      <c r="D27" s="2" t="s">
        <v>30</v>
      </c>
      <c r="E27" s="2" t="s">
        <v>50</v>
      </c>
      <c r="F27" s="2" t="s">
        <v>51</v>
      </c>
      <c r="G27" s="2" t="s">
        <v>49</v>
      </c>
      <c r="H27" s="2" t="s">
        <v>52</v>
      </c>
      <c r="I27" s="2" t="s">
        <v>33</v>
      </c>
      <c r="J27" s="2">
        <v>7</v>
      </c>
      <c r="K27" s="2">
        <v>1348</v>
      </c>
      <c r="L27" s="2">
        <v>0.15</v>
      </c>
      <c r="M27" s="2">
        <v>8021</v>
      </c>
      <c r="N27" s="2">
        <v>640</v>
      </c>
    </row>
    <row r="28" spans="1:14" x14ac:dyDescent="0.3">
      <c r="A28" s="2">
        <v>1087</v>
      </c>
      <c r="B28" s="2" t="s">
        <v>75</v>
      </c>
      <c r="C28" s="2" t="s">
        <v>29</v>
      </c>
      <c r="D28" s="2" t="s">
        <v>30</v>
      </c>
      <c r="E28" s="2" t="s">
        <v>50</v>
      </c>
      <c r="F28" s="2" t="s">
        <v>51</v>
      </c>
      <c r="G28" s="2" t="s">
        <v>49</v>
      </c>
      <c r="H28" s="2" t="s">
        <v>32</v>
      </c>
      <c r="I28" s="2" t="s">
        <v>21</v>
      </c>
      <c r="J28" s="2">
        <v>3</v>
      </c>
      <c r="K28" s="2">
        <v>1262</v>
      </c>
      <c r="L28" s="2">
        <v>0.1</v>
      </c>
      <c r="M28" s="2">
        <v>3407</v>
      </c>
      <c r="N28" s="2">
        <v>-111</v>
      </c>
    </row>
    <row r="29" spans="1:14" x14ac:dyDescent="0.3">
      <c r="A29" s="2">
        <v>1030</v>
      </c>
      <c r="B29" s="2" t="s">
        <v>76</v>
      </c>
      <c r="C29" s="2" t="s">
        <v>22</v>
      </c>
      <c r="D29" s="2" t="s">
        <v>23</v>
      </c>
      <c r="E29" s="2" t="s">
        <v>42</v>
      </c>
      <c r="F29" s="2" t="s">
        <v>43</v>
      </c>
      <c r="G29" s="2" t="s">
        <v>49</v>
      </c>
      <c r="H29" s="2" t="s">
        <v>52</v>
      </c>
      <c r="I29" s="2" t="s">
        <v>21</v>
      </c>
      <c r="J29" s="2">
        <v>6</v>
      </c>
      <c r="K29" s="2">
        <v>17476</v>
      </c>
      <c r="L29" s="2">
        <v>0</v>
      </c>
      <c r="M29" s="2">
        <v>104856</v>
      </c>
      <c r="N29" s="2">
        <v>21323</v>
      </c>
    </row>
    <row r="30" spans="1:14" x14ac:dyDescent="0.3">
      <c r="A30" s="2">
        <v>1014</v>
      </c>
      <c r="B30" s="2" t="s">
        <v>77</v>
      </c>
      <c r="C30" s="2" t="s">
        <v>29</v>
      </c>
      <c r="D30" s="2" t="s">
        <v>30</v>
      </c>
      <c r="E30" s="2" t="s">
        <v>42</v>
      </c>
      <c r="F30" s="2" t="s">
        <v>60</v>
      </c>
      <c r="G30" s="2" t="s">
        <v>19</v>
      </c>
      <c r="H30" s="2" t="s">
        <v>52</v>
      </c>
      <c r="I30" s="2" t="s">
        <v>21</v>
      </c>
      <c r="J30" s="2">
        <v>2</v>
      </c>
      <c r="K30" s="2">
        <v>17124</v>
      </c>
      <c r="L30" s="2">
        <v>0.05</v>
      </c>
      <c r="M30" s="2">
        <v>32536</v>
      </c>
      <c r="N30" s="2">
        <v>6185</v>
      </c>
    </row>
    <row r="31" spans="1:14" x14ac:dyDescent="0.3">
      <c r="A31" s="2">
        <v>1015</v>
      </c>
      <c r="B31" s="2" t="s">
        <v>77</v>
      </c>
      <c r="C31" s="2" t="s">
        <v>35</v>
      </c>
      <c r="D31" s="2" t="s">
        <v>36</v>
      </c>
      <c r="E31" s="2" t="s">
        <v>24</v>
      </c>
      <c r="F31" s="2" t="s">
        <v>55</v>
      </c>
      <c r="G31" s="2" t="s">
        <v>49</v>
      </c>
      <c r="H31" s="2" t="s">
        <v>20</v>
      </c>
      <c r="I31" s="2" t="s">
        <v>33</v>
      </c>
      <c r="J31" s="2">
        <v>4</v>
      </c>
      <c r="K31" s="2">
        <v>2696</v>
      </c>
      <c r="L31" s="2">
        <v>0</v>
      </c>
      <c r="M31" s="2">
        <v>10784</v>
      </c>
      <c r="N31" s="2">
        <v>1904</v>
      </c>
    </row>
    <row r="32" spans="1:14" x14ac:dyDescent="0.3">
      <c r="A32" s="2">
        <v>1040</v>
      </c>
      <c r="B32" s="2" t="s">
        <v>78</v>
      </c>
      <c r="C32" s="2" t="s">
        <v>35</v>
      </c>
      <c r="D32" s="2" t="s">
        <v>58</v>
      </c>
      <c r="E32" s="2" t="s">
        <v>42</v>
      </c>
      <c r="F32" s="2" t="s">
        <v>79</v>
      </c>
      <c r="G32" s="2" t="s">
        <v>49</v>
      </c>
      <c r="H32" s="2" t="s">
        <v>27</v>
      </c>
      <c r="I32" s="2" t="s">
        <v>21</v>
      </c>
      <c r="J32" s="2">
        <v>3</v>
      </c>
      <c r="K32" s="2">
        <v>24936</v>
      </c>
      <c r="L32" s="2">
        <v>0</v>
      </c>
      <c r="M32" s="2">
        <v>74808</v>
      </c>
      <c r="N32" s="2">
        <v>14177</v>
      </c>
    </row>
    <row r="33" spans="1:14" x14ac:dyDescent="0.3">
      <c r="A33" s="2">
        <v>1116</v>
      </c>
      <c r="B33" s="2" t="s">
        <v>80</v>
      </c>
      <c r="C33" s="2" t="s">
        <v>35</v>
      </c>
      <c r="D33" s="2" t="s">
        <v>58</v>
      </c>
      <c r="E33" s="2" t="s">
        <v>42</v>
      </c>
      <c r="F33" s="2" t="s">
        <v>46</v>
      </c>
      <c r="G33" s="2" t="s">
        <v>26</v>
      </c>
      <c r="H33" s="2" t="s">
        <v>32</v>
      </c>
      <c r="I33" s="2" t="s">
        <v>21</v>
      </c>
      <c r="J33" s="2">
        <v>7</v>
      </c>
      <c r="K33" s="2">
        <v>24284</v>
      </c>
      <c r="L33" s="2">
        <v>0</v>
      </c>
      <c r="M33" s="2">
        <v>169988</v>
      </c>
      <c r="N33" s="2">
        <v>9821</v>
      </c>
    </row>
    <row r="34" spans="1:14" x14ac:dyDescent="0.3">
      <c r="A34" s="2">
        <v>1058</v>
      </c>
      <c r="B34" s="2" t="s">
        <v>81</v>
      </c>
      <c r="C34" s="2" t="s">
        <v>29</v>
      </c>
      <c r="D34" s="2" t="s">
        <v>82</v>
      </c>
      <c r="E34" s="2" t="s">
        <v>42</v>
      </c>
      <c r="F34" s="2" t="s">
        <v>46</v>
      </c>
      <c r="G34" s="2" t="s">
        <v>19</v>
      </c>
      <c r="H34" s="2" t="s">
        <v>38</v>
      </c>
      <c r="I34" s="2" t="s">
        <v>33</v>
      </c>
      <c r="J34" s="2">
        <v>8</v>
      </c>
      <c r="K34" s="2">
        <v>17484</v>
      </c>
      <c r="L34" s="2">
        <v>0</v>
      </c>
      <c r="M34" s="2">
        <v>139872</v>
      </c>
      <c r="N34" s="2">
        <v>30040</v>
      </c>
    </row>
    <row r="35" spans="1:14" x14ac:dyDescent="0.3">
      <c r="A35" s="2">
        <v>1103</v>
      </c>
      <c r="B35" s="2" t="s">
        <v>83</v>
      </c>
      <c r="C35" s="2" t="s">
        <v>29</v>
      </c>
      <c r="D35" s="2" t="s">
        <v>41</v>
      </c>
      <c r="E35" s="2" t="s">
        <v>50</v>
      </c>
      <c r="F35" s="2" t="s">
        <v>84</v>
      </c>
      <c r="G35" s="2" t="s">
        <v>19</v>
      </c>
      <c r="H35" s="2" t="s">
        <v>44</v>
      </c>
      <c r="I35" s="2" t="s">
        <v>21</v>
      </c>
      <c r="J35" s="2">
        <v>4</v>
      </c>
      <c r="K35" s="2">
        <v>206</v>
      </c>
      <c r="L35" s="2">
        <v>0.15</v>
      </c>
      <c r="M35" s="2">
        <v>700</v>
      </c>
      <c r="N35" s="2">
        <v>136</v>
      </c>
    </row>
    <row r="36" spans="1:14" x14ac:dyDescent="0.3">
      <c r="A36" s="2">
        <v>1010</v>
      </c>
      <c r="B36" s="2" t="s">
        <v>85</v>
      </c>
      <c r="C36" s="2" t="s">
        <v>22</v>
      </c>
      <c r="D36" s="2" t="s">
        <v>23</v>
      </c>
      <c r="E36" s="2" t="s">
        <v>17</v>
      </c>
      <c r="F36" s="2" t="s">
        <v>86</v>
      </c>
      <c r="G36" s="2" t="s">
        <v>49</v>
      </c>
      <c r="H36" s="2" t="s">
        <v>38</v>
      </c>
      <c r="I36" s="2" t="s">
        <v>21</v>
      </c>
      <c r="J36" s="2">
        <v>6</v>
      </c>
      <c r="K36" s="2">
        <v>28153</v>
      </c>
      <c r="L36" s="2">
        <v>0.1</v>
      </c>
      <c r="M36" s="2">
        <v>152026</v>
      </c>
      <c r="N36" s="2">
        <v>50790</v>
      </c>
    </row>
    <row r="37" spans="1:14" x14ac:dyDescent="0.3">
      <c r="A37" s="2">
        <v>1080</v>
      </c>
      <c r="B37" s="2" t="s">
        <v>85</v>
      </c>
      <c r="C37" s="2" t="s">
        <v>22</v>
      </c>
      <c r="D37" s="2" t="s">
        <v>23</v>
      </c>
      <c r="E37" s="2" t="s">
        <v>17</v>
      </c>
      <c r="F37" s="2" t="s">
        <v>86</v>
      </c>
      <c r="G37" s="2" t="s">
        <v>49</v>
      </c>
      <c r="H37" s="2" t="s">
        <v>32</v>
      </c>
      <c r="I37" s="2" t="s">
        <v>39</v>
      </c>
      <c r="J37" s="2">
        <v>8</v>
      </c>
      <c r="K37" s="2">
        <v>34320</v>
      </c>
      <c r="L37" s="2">
        <v>0.15</v>
      </c>
      <c r="M37" s="2">
        <v>233376</v>
      </c>
      <c r="N37" s="2">
        <v>-6176</v>
      </c>
    </row>
    <row r="38" spans="1:14" x14ac:dyDescent="0.3">
      <c r="A38" s="2">
        <v>1147</v>
      </c>
      <c r="B38" s="2" t="s">
        <v>87</v>
      </c>
      <c r="C38" s="2" t="s">
        <v>29</v>
      </c>
      <c r="D38" s="2" t="s">
        <v>82</v>
      </c>
      <c r="E38" s="2" t="s">
        <v>24</v>
      </c>
      <c r="F38" s="2" t="s">
        <v>31</v>
      </c>
      <c r="G38" s="2" t="s">
        <v>26</v>
      </c>
      <c r="H38" s="2" t="s">
        <v>38</v>
      </c>
      <c r="I38" s="2" t="s">
        <v>39</v>
      </c>
      <c r="J38" s="2">
        <v>3</v>
      </c>
      <c r="K38" s="2">
        <v>2221</v>
      </c>
      <c r="L38" s="2">
        <v>0.05</v>
      </c>
      <c r="M38" s="2">
        <v>6330</v>
      </c>
      <c r="N38" s="2">
        <v>1168</v>
      </c>
    </row>
    <row r="39" spans="1:14" x14ac:dyDescent="0.3">
      <c r="A39" s="2">
        <v>1060</v>
      </c>
      <c r="B39" s="2" t="s">
        <v>88</v>
      </c>
      <c r="C39" s="2" t="s">
        <v>29</v>
      </c>
      <c r="D39" s="2" t="s">
        <v>41</v>
      </c>
      <c r="E39" s="2" t="s">
        <v>24</v>
      </c>
      <c r="F39" s="2" t="s">
        <v>37</v>
      </c>
      <c r="G39" s="2" t="s">
        <v>19</v>
      </c>
      <c r="H39" s="2" t="s">
        <v>32</v>
      </c>
      <c r="I39" s="2" t="s">
        <v>21</v>
      </c>
      <c r="J39" s="2">
        <v>7</v>
      </c>
      <c r="K39" s="2">
        <v>1498</v>
      </c>
      <c r="L39" s="2">
        <v>0.1</v>
      </c>
      <c r="M39" s="2">
        <v>9437</v>
      </c>
      <c r="N39" s="2">
        <v>881</v>
      </c>
    </row>
    <row r="40" spans="1:14" x14ac:dyDescent="0.3">
      <c r="A40" s="2">
        <v>1136</v>
      </c>
      <c r="B40" s="2" t="s">
        <v>89</v>
      </c>
      <c r="C40" s="2" t="s">
        <v>22</v>
      </c>
      <c r="D40" s="2" t="s">
        <v>63</v>
      </c>
      <c r="E40" s="2" t="s">
        <v>24</v>
      </c>
      <c r="F40" s="2" t="s">
        <v>55</v>
      </c>
      <c r="G40" s="2" t="s">
        <v>19</v>
      </c>
      <c r="H40" s="2" t="s">
        <v>32</v>
      </c>
      <c r="I40" s="2" t="s">
        <v>33</v>
      </c>
      <c r="J40" s="2">
        <v>6</v>
      </c>
      <c r="K40" s="2">
        <v>1550</v>
      </c>
      <c r="L40" s="2">
        <v>0</v>
      </c>
      <c r="M40" s="2">
        <v>9300</v>
      </c>
      <c r="N40" s="2">
        <v>1029</v>
      </c>
    </row>
    <row r="41" spans="1:14" x14ac:dyDescent="0.3">
      <c r="A41" s="2">
        <v>1137</v>
      </c>
      <c r="B41" s="2" t="s">
        <v>89</v>
      </c>
      <c r="C41" s="2" t="s">
        <v>35</v>
      </c>
      <c r="D41" s="2" t="s">
        <v>58</v>
      </c>
      <c r="E41" s="2" t="s">
        <v>42</v>
      </c>
      <c r="F41" s="2" t="s">
        <v>79</v>
      </c>
      <c r="G41" s="2" t="s">
        <v>26</v>
      </c>
      <c r="H41" s="2" t="s">
        <v>52</v>
      </c>
      <c r="I41" s="2" t="s">
        <v>39</v>
      </c>
      <c r="J41" s="2">
        <v>1</v>
      </c>
      <c r="K41" s="2">
        <v>20401</v>
      </c>
      <c r="L41" s="2">
        <v>0</v>
      </c>
      <c r="M41" s="2">
        <v>20401</v>
      </c>
      <c r="N41" s="2">
        <v>1341</v>
      </c>
    </row>
    <row r="42" spans="1:14" x14ac:dyDescent="0.3">
      <c r="A42" s="2">
        <v>1135</v>
      </c>
      <c r="B42" s="2" t="s">
        <v>90</v>
      </c>
      <c r="C42" s="2" t="s">
        <v>22</v>
      </c>
      <c r="D42" s="2" t="s">
        <v>48</v>
      </c>
      <c r="E42" s="2" t="s">
        <v>42</v>
      </c>
      <c r="F42" s="2" t="s">
        <v>43</v>
      </c>
      <c r="G42" s="2" t="s">
        <v>26</v>
      </c>
      <c r="H42" s="2" t="s">
        <v>38</v>
      </c>
      <c r="I42" s="2" t="s">
        <v>33</v>
      </c>
      <c r="J42" s="2">
        <v>6</v>
      </c>
      <c r="K42" s="2">
        <v>14429</v>
      </c>
      <c r="L42" s="2">
        <v>0</v>
      </c>
      <c r="M42" s="2">
        <v>86574</v>
      </c>
      <c r="N42" s="2">
        <v>7494</v>
      </c>
    </row>
    <row r="43" spans="1:14" x14ac:dyDescent="0.3">
      <c r="A43" s="2">
        <v>1077</v>
      </c>
      <c r="B43" s="2" t="s">
        <v>91</v>
      </c>
      <c r="C43" s="2" t="s">
        <v>35</v>
      </c>
      <c r="D43" s="2" t="s">
        <v>92</v>
      </c>
      <c r="E43" s="2" t="s">
        <v>24</v>
      </c>
      <c r="F43" s="2" t="s">
        <v>25</v>
      </c>
      <c r="G43" s="2" t="s">
        <v>49</v>
      </c>
      <c r="H43" s="2" t="s">
        <v>20</v>
      </c>
      <c r="I43" s="2" t="s">
        <v>33</v>
      </c>
      <c r="J43" s="2">
        <v>3</v>
      </c>
      <c r="K43" s="2">
        <v>1340</v>
      </c>
      <c r="L43" s="2">
        <v>0.2</v>
      </c>
      <c r="M43" s="2">
        <v>3216</v>
      </c>
      <c r="N43" s="2">
        <v>899</v>
      </c>
    </row>
    <row r="44" spans="1:14" x14ac:dyDescent="0.3">
      <c r="A44" s="2">
        <v>1059</v>
      </c>
      <c r="B44" s="2" t="s">
        <v>93</v>
      </c>
      <c r="C44" s="2" t="s">
        <v>35</v>
      </c>
      <c r="D44" s="2" t="s">
        <v>58</v>
      </c>
      <c r="E44" s="2" t="s">
        <v>42</v>
      </c>
      <c r="F44" s="2" t="s">
        <v>79</v>
      </c>
      <c r="G44" s="2" t="s">
        <v>26</v>
      </c>
      <c r="H44" s="2" t="s">
        <v>44</v>
      </c>
      <c r="I44" s="2" t="s">
        <v>39</v>
      </c>
      <c r="J44" s="2">
        <v>5</v>
      </c>
      <c r="K44" s="2">
        <v>3448</v>
      </c>
      <c r="L44" s="2">
        <v>0</v>
      </c>
      <c r="M44" s="2">
        <v>17240</v>
      </c>
      <c r="N44" s="2">
        <v>2024</v>
      </c>
    </row>
    <row r="45" spans="1:14" x14ac:dyDescent="0.3">
      <c r="A45" s="2">
        <v>1037</v>
      </c>
      <c r="B45" s="2" t="s">
        <v>94</v>
      </c>
      <c r="C45" s="2" t="s">
        <v>22</v>
      </c>
      <c r="D45" s="2" t="s">
        <v>23</v>
      </c>
      <c r="E45" s="2" t="s">
        <v>50</v>
      </c>
      <c r="F45" s="2" t="s">
        <v>95</v>
      </c>
      <c r="G45" s="2" t="s">
        <v>26</v>
      </c>
      <c r="H45" s="2" t="s">
        <v>52</v>
      </c>
      <c r="I45" s="2" t="s">
        <v>21</v>
      </c>
      <c r="J45" s="2">
        <v>4</v>
      </c>
      <c r="K45" s="2">
        <v>992</v>
      </c>
      <c r="L45" s="2">
        <v>0.05</v>
      </c>
      <c r="M45" s="2">
        <v>3770</v>
      </c>
      <c r="N45" s="2">
        <v>221</v>
      </c>
    </row>
    <row r="46" spans="1:14" x14ac:dyDescent="0.3">
      <c r="A46" s="2">
        <v>1053</v>
      </c>
      <c r="B46" s="2" t="s">
        <v>94</v>
      </c>
      <c r="C46" s="2" t="s">
        <v>35</v>
      </c>
      <c r="D46" s="2" t="s">
        <v>58</v>
      </c>
      <c r="E46" s="2" t="s">
        <v>42</v>
      </c>
      <c r="F46" s="2" t="s">
        <v>46</v>
      </c>
      <c r="G46" s="2" t="s">
        <v>49</v>
      </c>
      <c r="H46" s="2" t="s">
        <v>20</v>
      </c>
      <c r="I46" s="2" t="s">
        <v>39</v>
      </c>
      <c r="J46" s="2">
        <v>4</v>
      </c>
      <c r="K46" s="2">
        <v>6760</v>
      </c>
      <c r="L46" s="2">
        <v>0.15</v>
      </c>
      <c r="M46" s="2">
        <v>22984</v>
      </c>
      <c r="N46" s="2">
        <v>2177</v>
      </c>
    </row>
    <row r="47" spans="1:14" x14ac:dyDescent="0.3">
      <c r="A47" s="2">
        <v>1144</v>
      </c>
      <c r="B47" s="2" t="s">
        <v>94</v>
      </c>
      <c r="C47" s="2" t="s">
        <v>15</v>
      </c>
      <c r="D47" s="2" t="s">
        <v>66</v>
      </c>
      <c r="E47" s="2" t="s">
        <v>17</v>
      </c>
      <c r="F47" s="2" t="s">
        <v>96</v>
      </c>
      <c r="G47" s="2" t="s">
        <v>19</v>
      </c>
      <c r="H47" s="2" t="s">
        <v>32</v>
      </c>
      <c r="I47" s="2" t="s">
        <v>39</v>
      </c>
      <c r="J47" s="2">
        <v>6</v>
      </c>
      <c r="K47" s="2">
        <v>13118</v>
      </c>
      <c r="L47" s="2">
        <v>0.2</v>
      </c>
      <c r="M47" s="2">
        <v>62966</v>
      </c>
      <c r="N47" s="2">
        <v>13493</v>
      </c>
    </row>
    <row r="48" spans="1:14" x14ac:dyDescent="0.3">
      <c r="A48" s="2">
        <v>1078</v>
      </c>
      <c r="B48" s="2" t="s">
        <v>97</v>
      </c>
      <c r="C48" s="2" t="s">
        <v>35</v>
      </c>
      <c r="D48" s="2" t="s">
        <v>36</v>
      </c>
      <c r="E48" s="2" t="s">
        <v>42</v>
      </c>
      <c r="F48" s="2" t="s">
        <v>79</v>
      </c>
      <c r="G48" s="2" t="s">
        <v>26</v>
      </c>
      <c r="H48" s="2" t="s">
        <v>32</v>
      </c>
      <c r="I48" s="2" t="s">
        <v>39</v>
      </c>
      <c r="J48" s="2">
        <v>5</v>
      </c>
      <c r="K48" s="2">
        <v>6602</v>
      </c>
      <c r="L48" s="2">
        <v>0</v>
      </c>
      <c r="M48" s="2">
        <v>33010</v>
      </c>
      <c r="N48" s="2">
        <v>5198</v>
      </c>
    </row>
    <row r="49" spans="1:14" x14ac:dyDescent="0.3">
      <c r="A49" s="2">
        <v>1032</v>
      </c>
      <c r="B49" s="2" t="s">
        <v>98</v>
      </c>
      <c r="C49" s="2" t="s">
        <v>29</v>
      </c>
      <c r="D49" s="2" t="s">
        <v>41</v>
      </c>
      <c r="E49" s="2" t="s">
        <v>42</v>
      </c>
      <c r="F49" s="2" t="s">
        <v>43</v>
      </c>
      <c r="G49" s="2" t="s">
        <v>26</v>
      </c>
      <c r="H49" s="2" t="s">
        <v>44</v>
      </c>
      <c r="I49" s="2" t="s">
        <v>39</v>
      </c>
      <c r="J49" s="2">
        <v>8</v>
      </c>
      <c r="K49" s="2">
        <v>10994</v>
      </c>
      <c r="L49" s="2">
        <v>0.15</v>
      </c>
      <c r="M49" s="2">
        <v>74759</v>
      </c>
      <c r="N49" s="2">
        <v>3862</v>
      </c>
    </row>
    <row r="50" spans="1:14" x14ac:dyDescent="0.3">
      <c r="A50" s="2">
        <v>1026</v>
      </c>
      <c r="B50" s="2" t="s">
        <v>99</v>
      </c>
      <c r="C50" s="2" t="s">
        <v>29</v>
      </c>
      <c r="D50" s="2" t="s">
        <v>30</v>
      </c>
      <c r="E50" s="2" t="s">
        <v>24</v>
      </c>
      <c r="F50" s="2" t="s">
        <v>55</v>
      </c>
      <c r="G50" s="2" t="s">
        <v>49</v>
      </c>
      <c r="H50" s="2" t="s">
        <v>44</v>
      </c>
      <c r="I50" s="2" t="s">
        <v>33</v>
      </c>
      <c r="J50" s="2">
        <v>5</v>
      </c>
      <c r="K50" s="2">
        <v>2586</v>
      </c>
      <c r="L50" s="2">
        <v>0.15</v>
      </c>
      <c r="M50" s="2">
        <v>10990</v>
      </c>
      <c r="N50" s="2">
        <v>3784</v>
      </c>
    </row>
    <row r="51" spans="1:14" x14ac:dyDescent="0.3">
      <c r="A51" s="2">
        <v>1055</v>
      </c>
      <c r="B51" s="2" t="s">
        <v>100</v>
      </c>
      <c r="C51" s="2" t="s">
        <v>22</v>
      </c>
      <c r="D51" s="2" t="s">
        <v>63</v>
      </c>
      <c r="E51" s="2" t="s">
        <v>17</v>
      </c>
      <c r="F51" s="2" t="s">
        <v>61</v>
      </c>
      <c r="G51" s="2" t="s">
        <v>26</v>
      </c>
      <c r="H51" s="2" t="s">
        <v>52</v>
      </c>
      <c r="I51" s="2" t="s">
        <v>33</v>
      </c>
      <c r="J51" s="2">
        <v>1</v>
      </c>
      <c r="K51" s="2">
        <v>58119</v>
      </c>
      <c r="L51" s="2">
        <v>0.2</v>
      </c>
      <c r="M51" s="2">
        <v>46495</v>
      </c>
      <c r="N51" s="2">
        <v>12874</v>
      </c>
    </row>
    <row r="52" spans="1:14" x14ac:dyDescent="0.3">
      <c r="A52" s="2">
        <v>1066</v>
      </c>
      <c r="B52" s="2" t="s">
        <v>100</v>
      </c>
      <c r="C52" s="2" t="s">
        <v>15</v>
      </c>
      <c r="D52" s="2" t="s">
        <v>54</v>
      </c>
      <c r="E52" s="2" t="s">
        <v>24</v>
      </c>
      <c r="F52" s="2" t="s">
        <v>55</v>
      </c>
      <c r="G52" s="2" t="s">
        <v>19</v>
      </c>
      <c r="H52" s="2" t="s">
        <v>38</v>
      </c>
      <c r="I52" s="2" t="s">
        <v>21</v>
      </c>
      <c r="J52" s="2">
        <v>1</v>
      </c>
      <c r="K52" s="2">
        <v>1701</v>
      </c>
      <c r="L52" s="2">
        <v>0</v>
      </c>
      <c r="M52" s="2">
        <v>1701</v>
      </c>
      <c r="N52" s="2">
        <v>305</v>
      </c>
    </row>
    <row r="53" spans="1:14" x14ac:dyDescent="0.3">
      <c r="A53" s="2">
        <v>1003</v>
      </c>
      <c r="B53" s="2" t="s">
        <v>101</v>
      </c>
      <c r="C53" s="2" t="s">
        <v>35</v>
      </c>
      <c r="D53" s="2" t="s">
        <v>36</v>
      </c>
      <c r="E53" s="2" t="s">
        <v>24</v>
      </c>
      <c r="F53" s="2" t="s">
        <v>37</v>
      </c>
      <c r="G53" s="2" t="s">
        <v>19</v>
      </c>
      <c r="H53" s="2" t="s">
        <v>52</v>
      </c>
      <c r="I53" s="2" t="s">
        <v>33</v>
      </c>
      <c r="J53" s="2">
        <v>1</v>
      </c>
      <c r="K53" s="2">
        <v>2696</v>
      </c>
      <c r="L53" s="2">
        <v>0.05</v>
      </c>
      <c r="M53" s="2">
        <v>2561</v>
      </c>
      <c r="N53" s="2">
        <v>189</v>
      </c>
    </row>
    <row r="54" spans="1:14" x14ac:dyDescent="0.3">
      <c r="A54" s="2">
        <v>1025</v>
      </c>
      <c r="B54" s="2" t="s">
        <v>101</v>
      </c>
      <c r="C54" s="2" t="s">
        <v>22</v>
      </c>
      <c r="D54" s="2" t="s">
        <v>63</v>
      </c>
      <c r="E54" s="2" t="s">
        <v>17</v>
      </c>
      <c r="F54" s="2" t="s">
        <v>96</v>
      </c>
      <c r="G54" s="2" t="s">
        <v>49</v>
      </c>
      <c r="H54" s="2" t="s">
        <v>20</v>
      </c>
      <c r="I54" s="2" t="s">
        <v>39</v>
      </c>
      <c r="J54" s="2">
        <v>1</v>
      </c>
      <c r="K54" s="2">
        <v>38847</v>
      </c>
      <c r="L54" s="2">
        <v>0</v>
      </c>
      <c r="M54" s="2">
        <v>38847</v>
      </c>
      <c r="N54" s="2">
        <v>5499</v>
      </c>
    </row>
    <row r="55" spans="1:14" x14ac:dyDescent="0.3">
      <c r="A55" s="2">
        <v>1140</v>
      </c>
      <c r="B55" s="2" t="s">
        <v>101</v>
      </c>
      <c r="C55" s="2" t="s">
        <v>29</v>
      </c>
      <c r="D55" s="2" t="s">
        <v>82</v>
      </c>
      <c r="E55" s="2" t="s">
        <v>50</v>
      </c>
      <c r="F55" s="2" t="s">
        <v>51</v>
      </c>
      <c r="G55" s="2" t="s">
        <v>26</v>
      </c>
      <c r="H55" s="2" t="s">
        <v>52</v>
      </c>
      <c r="I55" s="2" t="s">
        <v>33</v>
      </c>
      <c r="J55" s="2">
        <v>4</v>
      </c>
      <c r="K55" s="2">
        <v>1039</v>
      </c>
      <c r="L55" s="2">
        <v>0.15</v>
      </c>
      <c r="M55" s="2">
        <v>3533</v>
      </c>
      <c r="N55" s="2">
        <v>449</v>
      </c>
    </row>
    <row r="56" spans="1:14" x14ac:dyDescent="0.3">
      <c r="A56" s="2">
        <v>1001</v>
      </c>
      <c r="B56" s="2" t="s">
        <v>102</v>
      </c>
      <c r="C56" s="2" t="s">
        <v>35</v>
      </c>
      <c r="D56" s="2" t="s">
        <v>92</v>
      </c>
      <c r="E56" s="2" t="s">
        <v>24</v>
      </c>
      <c r="F56" s="2" t="s">
        <v>25</v>
      </c>
      <c r="G56" s="2" t="s">
        <v>19</v>
      </c>
      <c r="H56" s="2" t="s">
        <v>32</v>
      </c>
      <c r="I56" s="2" t="s">
        <v>39</v>
      </c>
      <c r="J56" s="2">
        <v>4</v>
      </c>
      <c r="K56" s="2">
        <v>2733</v>
      </c>
      <c r="L56" s="2">
        <v>0.1</v>
      </c>
      <c r="M56" s="2">
        <v>9839</v>
      </c>
      <c r="N56" s="2">
        <v>-369</v>
      </c>
    </row>
    <row r="57" spans="1:14" x14ac:dyDescent="0.3">
      <c r="A57" s="2">
        <v>1039</v>
      </c>
      <c r="B57" s="2" t="s">
        <v>103</v>
      </c>
      <c r="C57" s="2" t="s">
        <v>29</v>
      </c>
      <c r="D57" s="2" t="s">
        <v>30</v>
      </c>
      <c r="E57" s="2" t="s">
        <v>50</v>
      </c>
      <c r="F57" s="2" t="s">
        <v>51</v>
      </c>
      <c r="G57" s="2" t="s">
        <v>49</v>
      </c>
      <c r="H57" s="2" t="s">
        <v>44</v>
      </c>
      <c r="I57" s="2" t="s">
        <v>39</v>
      </c>
      <c r="J57" s="2">
        <v>2</v>
      </c>
      <c r="K57" s="2">
        <v>206</v>
      </c>
      <c r="L57" s="2">
        <v>0</v>
      </c>
      <c r="M57" s="2">
        <v>412</v>
      </c>
      <c r="N57" s="2">
        <v>-40</v>
      </c>
    </row>
    <row r="58" spans="1:14" x14ac:dyDescent="0.3">
      <c r="A58" s="2">
        <v>1110</v>
      </c>
      <c r="B58" s="2" t="s">
        <v>104</v>
      </c>
      <c r="C58" s="2" t="s">
        <v>15</v>
      </c>
      <c r="D58" s="2" t="s">
        <v>66</v>
      </c>
      <c r="E58" s="2" t="s">
        <v>24</v>
      </c>
      <c r="F58" s="2" t="s">
        <v>37</v>
      </c>
      <c r="G58" s="2" t="s">
        <v>49</v>
      </c>
      <c r="H58" s="2" t="s">
        <v>38</v>
      </c>
      <c r="I58" s="2" t="s">
        <v>33</v>
      </c>
      <c r="J58" s="2">
        <v>3</v>
      </c>
      <c r="K58" s="2">
        <v>2460</v>
      </c>
      <c r="L58" s="2">
        <v>0</v>
      </c>
      <c r="M58" s="2">
        <v>7380</v>
      </c>
      <c r="N58" s="2">
        <v>-606</v>
      </c>
    </row>
    <row r="59" spans="1:14" x14ac:dyDescent="0.3">
      <c r="A59" s="2">
        <v>1076</v>
      </c>
      <c r="B59" s="2" t="s">
        <v>105</v>
      </c>
      <c r="C59" s="2" t="s">
        <v>29</v>
      </c>
      <c r="D59" s="2" t="s">
        <v>82</v>
      </c>
      <c r="E59" s="2" t="s">
        <v>24</v>
      </c>
      <c r="F59" s="2" t="s">
        <v>55</v>
      </c>
      <c r="G59" s="2" t="s">
        <v>49</v>
      </c>
      <c r="H59" s="2" t="s">
        <v>38</v>
      </c>
      <c r="I59" s="2" t="s">
        <v>21</v>
      </c>
      <c r="J59" s="2">
        <v>6</v>
      </c>
      <c r="K59" s="2">
        <v>1969</v>
      </c>
      <c r="L59" s="2">
        <v>0.05</v>
      </c>
      <c r="M59" s="2">
        <v>11223</v>
      </c>
      <c r="N59" s="2">
        <v>1490</v>
      </c>
    </row>
    <row r="60" spans="1:14" x14ac:dyDescent="0.3">
      <c r="A60" s="2">
        <v>1047</v>
      </c>
      <c r="B60" s="2" t="s">
        <v>106</v>
      </c>
      <c r="C60" s="2" t="s">
        <v>22</v>
      </c>
      <c r="D60" s="2" t="s">
        <v>48</v>
      </c>
      <c r="E60" s="2" t="s">
        <v>50</v>
      </c>
      <c r="F60" s="2" t="s">
        <v>51</v>
      </c>
      <c r="G60" s="2" t="s">
        <v>49</v>
      </c>
      <c r="H60" s="2" t="s">
        <v>52</v>
      </c>
      <c r="I60" s="2" t="s">
        <v>39</v>
      </c>
      <c r="J60" s="2">
        <v>5</v>
      </c>
      <c r="K60" s="2">
        <v>494</v>
      </c>
      <c r="L60" s="2">
        <v>0</v>
      </c>
      <c r="M60" s="2">
        <v>2470</v>
      </c>
      <c r="N60" s="2">
        <v>212</v>
      </c>
    </row>
    <row r="61" spans="1:14" x14ac:dyDescent="0.3">
      <c r="A61" s="2">
        <v>1081</v>
      </c>
      <c r="B61" s="2" t="s">
        <v>106</v>
      </c>
      <c r="C61" s="2" t="s">
        <v>22</v>
      </c>
      <c r="D61" s="2" t="s">
        <v>48</v>
      </c>
      <c r="E61" s="2" t="s">
        <v>24</v>
      </c>
      <c r="F61" s="2" t="s">
        <v>31</v>
      </c>
      <c r="G61" s="2" t="s">
        <v>19</v>
      </c>
      <c r="H61" s="2" t="s">
        <v>52</v>
      </c>
      <c r="I61" s="2" t="s">
        <v>21</v>
      </c>
      <c r="J61" s="2">
        <v>5</v>
      </c>
      <c r="K61" s="2">
        <v>2979</v>
      </c>
      <c r="L61" s="2">
        <v>0</v>
      </c>
      <c r="M61" s="2">
        <v>14895</v>
      </c>
      <c r="N61" s="2">
        <v>4289</v>
      </c>
    </row>
    <row r="62" spans="1:14" x14ac:dyDescent="0.3">
      <c r="A62" s="2">
        <v>1086</v>
      </c>
      <c r="B62" s="2" t="s">
        <v>106</v>
      </c>
      <c r="C62" s="2" t="s">
        <v>22</v>
      </c>
      <c r="D62" s="2" t="s">
        <v>23</v>
      </c>
      <c r="E62" s="2" t="s">
        <v>24</v>
      </c>
      <c r="F62" s="2" t="s">
        <v>55</v>
      </c>
      <c r="G62" s="2" t="s">
        <v>19</v>
      </c>
      <c r="H62" s="2" t="s">
        <v>44</v>
      </c>
      <c r="I62" s="2" t="s">
        <v>21</v>
      </c>
      <c r="J62" s="2">
        <v>3</v>
      </c>
      <c r="K62" s="2">
        <v>2141</v>
      </c>
      <c r="L62" s="2">
        <v>0</v>
      </c>
      <c r="M62" s="2">
        <v>6423</v>
      </c>
      <c r="N62" s="2">
        <v>1749</v>
      </c>
    </row>
    <row r="63" spans="1:14" x14ac:dyDescent="0.3">
      <c r="A63" s="2">
        <v>1050</v>
      </c>
      <c r="B63" s="2" t="s">
        <v>107</v>
      </c>
      <c r="C63" s="2" t="s">
        <v>29</v>
      </c>
      <c r="D63" s="2" t="s">
        <v>30</v>
      </c>
      <c r="E63" s="2" t="s">
        <v>17</v>
      </c>
      <c r="F63" s="2" t="s">
        <v>86</v>
      </c>
      <c r="G63" s="2" t="s">
        <v>19</v>
      </c>
      <c r="H63" s="2" t="s">
        <v>32</v>
      </c>
      <c r="I63" s="2" t="s">
        <v>21</v>
      </c>
      <c r="J63" s="2">
        <v>3</v>
      </c>
      <c r="K63" s="2">
        <v>17777</v>
      </c>
      <c r="L63" s="2">
        <v>0</v>
      </c>
      <c r="M63" s="2">
        <v>53331</v>
      </c>
      <c r="N63" s="2">
        <v>4562</v>
      </c>
    </row>
    <row r="64" spans="1:14" x14ac:dyDescent="0.3">
      <c r="A64" s="2">
        <v>1148</v>
      </c>
      <c r="B64" s="2" t="s">
        <v>108</v>
      </c>
      <c r="C64" s="2" t="s">
        <v>22</v>
      </c>
      <c r="D64" s="2" t="s">
        <v>63</v>
      </c>
      <c r="E64" s="2" t="s">
        <v>42</v>
      </c>
      <c r="F64" s="2" t="s">
        <v>43</v>
      </c>
      <c r="G64" s="2" t="s">
        <v>19</v>
      </c>
      <c r="H64" s="2" t="s">
        <v>38</v>
      </c>
      <c r="I64" s="2" t="s">
        <v>33</v>
      </c>
      <c r="J64" s="2">
        <v>3</v>
      </c>
      <c r="K64" s="2">
        <v>10297</v>
      </c>
      <c r="L64" s="2">
        <v>0</v>
      </c>
      <c r="M64" s="2">
        <v>30891</v>
      </c>
      <c r="N64" s="2">
        <v>5835</v>
      </c>
    </row>
    <row r="65" spans="1:14" x14ac:dyDescent="0.3">
      <c r="A65" s="2">
        <v>1141</v>
      </c>
      <c r="B65" s="2" t="s">
        <v>109</v>
      </c>
      <c r="C65" s="2" t="s">
        <v>15</v>
      </c>
      <c r="D65" s="2" t="s">
        <v>54</v>
      </c>
      <c r="E65" s="2" t="s">
        <v>50</v>
      </c>
      <c r="F65" s="2" t="s">
        <v>95</v>
      </c>
      <c r="G65" s="2" t="s">
        <v>26</v>
      </c>
      <c r="H65" s="2" t="s">
        <v>44</v>
      </c>
      <c r="I65" s="2" t="s">
        <v>33</v>
      </c>
      <c r="J65" s="2">
        <v>6</v>
      </c>
      <c r="K65" s="2">
        <v>478</v>
      </c>
      <c r="L65" s="2">
        <v>0</v>
      </c>
      <c r="M65" s="2">
        <v>2868</v>
      </c>
      <c r="N65" s="2">
        <v>554</v>
      </c>
    </row>
    <row r="66" spans="1:14" x14ac:dyDescent="0.3">
      <c r="A66" s="2">
        <v>1101</v>
      </c>
      <c r="B66" s="2" t="s">
        <v>110</v>
      </c>
      <c r="C66" s="2" t="s">
        <v>35</v>
      </c>
      <c r="D66" s="2" t="s">
        <v>58</v>
      </c>
      <c r="E66" s="2" t="s">
        <v>24</v>
      </c>
      <c r="F66" s="2" t="s">
        <v>25</v>
      </c>
      <c r="G66" s="2" t="s">
        <v>26</v>
      </c>
      <c r="H66" s="2" t="s">
        <v>44</v>
      </c>
      <c r="I66" s="2" t="s">
        <v>33</v>
      </c>
      <c r="J66" s="2">
        <v>7</v>
      </c>
      <c r="K66" s="2">
        <v>1240</v>
      </c>
      <c r="L66" s="2">
        <v>0.2</v>
      </c>
      <c r="M66" s="2">
        <v>6944</v>
      </c>
      <c r="N66" s="2">
        <v>2228</v>
      </c>
    </row>
    <row r="67" spans="1:14" x14ac:dyDescent="0.3">
      <c r="A67" s="2">
        <v>1013</v>
      </c>
      <c r="B67" s="2" t="s">
        <v>111</v>
      </c>
      <c r="C67" s="2" t="s">
        <v>15</v>
      </c>
      <c r="D67" s="2" t="s">
        <v>66</v>
      </c>
      <c r="E67" s="2" t="s">
        <v>17</v>
      </c>
      <c r="F67" s="2" t="s">
        <v>18</v>
      </c>
      <c r="G67" s="2" t="s">
        <v>19</v>
      </c>
      <c r="H67" s="2" t="s">
        <v>32</v>
      </c>
      <c r="I67" s="2" t="s">
        <v>33</v>
      </c>
      <c r="J67" s="2">
        <v>2</v>
      </c>
      <c r="K67" s="2">
        <v>41695</v>
      </c>
      <c r="L67" s="2">
        <v>0.05</v>
      </c>
      <c r="M67" s="2">
        <v>79220</v>
      </c>
      <c r="N67" s="2">
        <v>9053</v>
      </c>
    </row>
    <row r="68" spans="1:14" x14ac:dyDescent="0.3">
      <c r="A68" s="2">
        <v>1023</v>
      </c>
      <c r="B68" s="2" t="s">
        <v>112</v>
      </c>
      <c r="C68" s="2" t="s">
        <v>35</v>
      </c>
      <c r="D68" s="2" t="s">
        <v>92</v>
      </c>
      <c r="E68" s="2" t="s">
        <v>17</v>
      </c>
      <c r="F68" s="2" t="s">
        <v>61</v>
      </c>
      <c r="G68" s="2" t="s">
        <v>26</v>
      </c>
      <c r="H68" s="2" t="s">
        <v>44</v>
      </c>
      <c r="I68" s="2" t="s">
        <v>39</v>
      </c>
      <c r="J68" s="2">
        <v>1</v>
      </c>
      <c r="K68" s="2">
        <v>32196</v>
      </c>
      <c r="L68" s="2">
        <v>0.05</v>
      </c>
      <c r="M68" s="2">
        <v>30586</v>
      </c>
      <c r="N68" s="2">
        <v>2699</v>
      </c>
    </row>
    <row r="69" spans="1:14" x14ac:dyDescent="0.3">
      <c r="A69" s="2">
        <v>1024</v>
      </c>
      <c r="B69" s="2" t="s">
        <v>112</v>
      </c>
      <c r="C69" s="2" t="s">
        <v>35</v>
      </c>
      <c r="D69" s="2" t="s">
        <v>36</v>
      </c>
      <c r="E69" s="2" t="s">
        <v>50</v>
      </c>
      <c r="F69" s="2" t="s">
        <v>84</v>
      </c>
      <c r="G69" s="2" t="s">
        <v>19</v>
      </c>
      <c r="H69" s="2" t="s">
        <v>38</v>
      </c>
      <c r="I69" s="2" t="s">
        <v>21</v>
      </c>
      <c r="J69" s="2">
        <v>4</v>
      </c>
      <c r="K69" s="2">
        <v>150</v>
      </c>
      <c r="L69" s="2">
        <v>0</v>
      </c>
      <c r="M69" s="2">
        <v>600</v>
      </c>
      <c r="N69" s="2">
        <v>163</v>
      </c>
    </row>
    <row r="70" spans="1:14" x14ac:dyDescent="0.3">
      <c r="A70" s="2">
        <v>1006</v>
      </c>
      <c r="B70" s="2" t="s">
        <v>113</v>
      </c>
      <c r="C70" s="2" t="s">
        <v>29</v>
      </c>
      <c r="D70" s="2" t="s">
        <v>30</v>
      </c>
      <c r="E70" s="2" t="s">
        <v>17</v>
      </c>
      <c r="F70" s="2" t="s">
        <v>61</v>
      </c>
      <c r="G70" s="2" t="s">
        <v>19</v>
      </c>
      <c r="H70" s="2" t="s">
        <v>20</v>
      </c>
      <c r="I70" s="2" t="s">
        <v>21</v>
      </c>
      <c r="J70" s="2">
        <v>6</v>
      </c>
      <c r="K70" s="2">
        <v>21934</v>
      </c>
      <c r="L70" s="2">
        <v>0.15</v>
      </c>
      <c r="M70" s="2">
        <v>111863</v>
      </c>
      <c r="N70" s="2">
        <v>20992</v>
      </c>
    </row>
    <row r="71" spans="1:14" x14ac:dyDescent="0.3">
      <c r="A71" s="2">
        <v>1021</v>
      </c>
      <c r="B71" s="2" t="s">
        <v>114</v>
      </c>
      <c r="C71" s="2" t="s">
        <v>35</v>
      </c>
      <c r="D71" s="2" t="s">
        <v>58</v>
      </c>
      <c r="E71" s="2" t="s">
        <v>24</v>
      </c>
      <c r="F71" s="2" t="s">
        <v>55</v>
      </c>
      <c r="G71" s="2" t="s">
        <v>26</v>
      </c>
      <c r="H71" s="2" t="s">
        <v>52</v>
      </c>
      <c r="I71" s="2" t="s">
        <v>39</v>
      </c>
      <c r="J71" s="2">
        <v>3</v>
      </c>
      <c r="K71" s="2">
        <v>938</v>
      </c>
      <c r="L71" s="2">
        <v>0</v>
      </c>
      <c r="M71" s="2">
        <v>2814</v>
      </c>
      <c r="N71" s="2">
        <v>371</v>
      </c>
    </row>
    <row r="72" spans="1:14" x14ac:dyDescent="0.3">
      <c r="A72" s="2">
        <v>1004</v>
      </c>
      <c r="B72" s="2" t="s">
        <v>115</v>
      </c>
      <c r="C72" s="2" t="s">
        <v>35</v>
      </c>
      <c r="D72" s="2" t="s">
        <v>92</v>
      </c>
      <c r="E72" s="2" t="s">
        <v>42</v>
      </c>
      <c r="F72" s="2" t="s">
        <v>46</v>
      </c>
      <c r="G72" s="2" t="s">
        <v>26</v>
      </c>
      <c r="H72" s="2" t="s">
        <v>27</v>
      </c>
      <c r="I72" s="2" t="s">
        <v>39</v>
      </c>
      <c r="J72" s="2">
        <v>2</v>
      </c>
      <c r="K72" s="2">
        <v>6309</v>
      </c>
      <c r="L72" s="2">
        <v>0.05</v>
      </c>
      <c r="M72" s="2">
        <v>11987</v>
      </c>
      <c r="N72" s="2">
        <v>2885</v>
      </c>
    </row>
    <row r="73" spans="1:14" x14ac:dyDescent="0.3">
      <c r="A73" s="2">
        <v>1043</v>
      </c>
      <c r="B73" s="2" t="s">
        <v>116</v>
      </c>
      <c r="C73" s="2" t="s">
        <v>29</v>
      </c>
      <c r="D73" s="2" t="s">
        <v>41</v>
      </c>
      <c r="E73" s="2" t="s">
        <v>42</v>
      </c>
      <c r="F73" s="2" t="s">
        <v>43</v>
      </c>
      <c r="G73" s="2" t="s">
        <v>26</v>
      </c>
      <c r="H73" s="2" t="s">
        <v>38</v>
      </c>
      <c r="I73" s="2" t="s">
        <v>21</v>
      </c>
      <c r="J73" s="2">
        <v>3</v>
      </c>
      <c r="K73" s="2">
        <v>20096</v>
      </c>
      <c r="L73" s="2">
        <v>0.2</v>
      </c>
      <c r="M73" s="2">
        <v>48230</v>
      </c>
      <c r="N73" s="2">
        <v>15717</v>
      </c>
    </row>
    <row r="74" spans="1:14" x14ac:dyDescent="0.3">
      <c r="A74" s="2">
        <v>1085</v>
      </c>
      <c r="B74" s="2" t="s">
        <v>117</v>
      </c>
      <c r="C74" s="2" t="s">
        <v>22</v>
      </c>
      <c r="D74" s="2" t="s">
        <v>63</v>
      </c>
      <c r="E74" s="2" t="s">
        <v>24</v>
      </c>
      <c r="F74" s="2" t="s">
        <v>25</v>
      </c>
      <c r="G74" s="2" t="s">
        <v>49</v>
      </c>
      <c r="H74" s="2" t="s">
        <v>27</v>
      </c>
      <c r="I74" s="2" t="s">
        <v>39</v>
      </c>
      <c r="J74" s="2">
        <v>7</v>
      </c>
      <c r="K74" s="2">
        <v>2780</v>
      </c>
      <c r="L74" s="2">
        <v>0.1</v>
      </c>
      <c r="M74" s="2">
        <v>17514</v>
      </c>
      <c r="N74" s="2">
        <v>5757</v>
      </c>
    </row>
    <row r="75" spans="1:14" x14ac:dyDescent="0.3">
      <c r="A75" s="2">
        <v>1121</v>
      </c>
      <c r="B75" s="2" t="s">
        <v>118</v>
      </c>
      <c r="C75" s="2" t="s">
        <v>35</v>
      </c>
      <c r="D75" s="2" t="s">
        <v>92</v>
      </c>
      <c r="E75" s="2" t="s">
        <v>42</v>
      </c>
      <c r="F75" s="2" t="s">
        <v>46</v>
      </c>
      <c r="G75" s="2" t="s">
        <v>49</v>
      </c>
      <c r="H75" s="2" t="s">
        <v>27</v>
      </c>
      <c r="I75" s="2" t="s">
        <v>21</v>
      </c>
      <c r="J75" s="2">
        <v>3</v>
      </c>
      <c r="K75" s="2">
        <v>13572</v>
      </c>
      <c r="L75" s="2">
        <v>0.1</v>
      </c>
      <c r="M75" s="2">
        <v>36644</v>
      </c>
      <c r="N75" s="2">
        <v>11670</v>
      </c>
    </row>
    <row r="76" spans="1:14" x14ac:dyDescent="0.3">
      <c r="A76" s="2">
        <v>1102</v>
      </c>
      <c r="B76" s="2" t="s">
        <v>119</v>
      </c>
      <c r="C76" s="2" t="s">
        <v>29</v>
      </c>
      <c r="D76" s="2" t="s">
        <v>41</v>
      </c>
      <c r="E76" s="2" t="s">
        <v>24</v>
      </c>
      <c r="F76" s="2" t="s">
        <v>31</v>
      </c>
      <c r="G76" s="2" t="s">
        <v>26</v>
      </c>
      <c r="H76" s="2" t="s">
        <v>32</v>
      </c>
      <c r="I76" s="2" t="s">
        <v>33</v>
      </c>
      <c r="J76" s="2">
        <v>4</v>
      </c>
      <c r="K76" s="2">
        <v>1767</v>
      </c>
      <c r="L76" s="2">
        <v>0.2</v>
      </c>
      <c r="M76" s="2">
        <v>5654</v>
      </c>
      <c r="N76" s="2">
        <v>612</v>
      </c>
    </row>
    <row r="77" spans="1:14" x14ac:dyDescent="0.3">
      <c r="A77" s="2">
        <v>1105</v>
      </c>
      <c r="B77" s="2" t="s">
        <v>120</v>
      </c>
      <c r="C77" s="2" t="s">
        <v>22</v>
      </c>
      <c r="D77" s="2" t="s">
        <v>63</v>
      </c>
      <c r="E77" s="2" t="s">
        <v>50</v>
      </c>
      <c r="F77" s="2" t="s">
        <v>68</v>
      </c>
      <c r="G77" s="2" t="s">
        <v>49</v>
      </c>
      <c r="H77" s="2" t="s">
        <v>20</v>
      </c>
      <c r="I77" s="2" t="s">
        <v>39</v>
      </c>
      <c r="J77" s="2">
        <v>6</v>
      </c>
      <c r="K77" s="2">
        <v>302</v>
      </c>
      <c r="L77" s="2">
        <v>0.2</v>
      </c>
      <c r="M77" s="2">
        <v>1450</v>
      </c>
      <c r="N77" s="2">
        <v>383</v>
      </c>
    </row>
    <row r="78" spans="1:14" x14ac:dyDescent="0.3">
      <c r="A78" s="2">
        <v>1056</v>
      </c>
      <c r="B78" s="2" t="s">
        <v>121</v>
      </c>
      <c r="C78" s="2" t="s">
        <v>29</v>
      </c>
      <c r="D78" s="2" t="s">
        <v>41</v>
      </c>
      <c r="E78" s="2" t="s">
        <v>50</v>
      </c>
      <c r="F78" s="2" t="s">
        <v>68</v>
      </c>
      <c r="G78" s="2" t="s">
        <v>19</v>
      </c>
      <c r="H78" s="2" t="s">
        <v>38</v>
      </c>
      <c r="I78" s="2" t="s">
        <v>33</v>
      </c>
      <c r="J78" s="2">
        <v>8</v>
      </c>
      <c r="K78" s="2">
        <v>757</v>
      </c>
      <c r="L78" s="2">
        <v>0.15</v>
      </c>
      <c r="M78" s="2">
        <v>5148</v>
      </c>
      <c r="N78" s="2">
        <v>419</v>
      </c>
    </row>
    <row r="79" spans="1:14" x14ac:dyDescent="0.3">
      <c r="A79" s="2">
        <v>1067</v>
      </c>
      <c r="B79" s="2" t="s">
        <v>121</v>
      </c>
      <c r="C79" s="2" t="s">
        <v>15</v>
      </c>
      <c r="D79" s="2" t="s">
        <v>66</v>
      </c>
      <c r="E79" s="2" t="s">
        <v>17</v>
      </c>
      <c r="F79" s="2" t="s">
        <v>96</v>
      </c>
      <c r="G79" s="2" t="s">
        <v>49</v>
      </c>
      <c r="H79" s="2" t="s">
        <v>52</v>
      </c>
      <c r="I79" s="2" t="s">
        <v>33</v>
      </c>
      <c r="J79" s="2">
        <v>4</v>
      </c>
      <c r="K79" s="2">
        <v>40615</v>
      </c>
      <c r="L79" s="2">
        <v>0.05</v>
      </c>
      <c r="M79" s="2">
        <v>154337</v>
      </c>
      <c r="N79" s="2">
        <v>37253</v>
      </c>
    </row>
    <row r="80" spans="1:14" x14ac:dyDescent="0.3">
      <c r="A80" s="2">
        <v>1150</v>
      </c>
      <c r="B80" s="2" t="s">
        <v>122</v>
      </c>
      <c r="C80" s="2" t="s">
        <v>35</v>
      </c>
      <c r="D80" s="2" t="s">
        <v>58</v>
      </c>
      <c r="E80" s="2" t="s">
        <v>17</v>
      </c>
      <c r="F80" s="2" t="s">
        <v>96</v>
      </c>
      <c r="G80" s="2" t="s">
        <v>49</v>
      </c>
      <c r="H80" s="2" t="s">
        <v>44</v>
      </c>
      <c r="I80" s="2" t="s">
        <v>21</v>
      </c>
      <c r="J80" s="2">
        <v>1</v>
      </c>
      <c r="K80" s="2">
        <v>24038</v>
      </c>
      <c r="L80" s="2">
        <v>0</v>
      </c>
      <c r="M80" s="2">
        <v>24038</v>
      </c>
      <c r="N80" s="2">
        <v>5094</v>
      </c>
    </row>
    <row r="81" spans="1:14" x14ac:dyDescent="0.3">
      <c r="A81" s="2">
        <v>1048</v>
      </c>
      <c r="B81" s="2" t="s">
        <v>123</v>
      </c>
      <c r="C81" s="2" t="s">
        <v>29</v>
      </c>
      <c r="D81" s="2" t="s">
        <v>30</v>
      </c>
      <c r="E81" s="2" t="s">
        <v>24</v>
      </c>
      <c r="F81" s="2" t="s">
        <v>55</v>
      </c>
      <c r="G81" s="2" t="s">
        <v>49</v>
      </c>
      <c r="H81" s="2" t="s">
        <v>27</v>
      </c>
      <c r="I81" s="2" t="s">
        <v>39</v>
      </c>
      <c r="J81" s="2">
        <v>4</v>
      </c>
      <c r="K81" s="2">
        <v>1978</v>
      </c>
      <c r="L81" s="2">
        <v>0</v>
      </c>
      <c r="M81" s="2">
        <v>7912</v>
      </c>
      <c r="N81" s="2">
        <v>429</v>
      </c>
    </row>
    <row r="82" spans="1:14" x14ac:dyDescent="0.3">
      <c r="A82" s="2">
        <v>1071</v>
      </c>
      <c r="B82" s="2" t="s">
        <v>124</v>
      </c>
      <c r="C82" s="2" t="s">
        <v>15</v>
      </c>
      <c r="D82" s="2" t="s">
        <v>66</v>
      </c>
      <c r="E82" s="2" t="s">
        <v>24</v>
      </c>
      <c r="F82" s="2" t="s">
        <v>37</v>
      </c>
      <c r="G82" s="2" t="s">
        <v>26</v>
      </c>
      <c r="H82" s="2" t="s">
        <v>20</v>
      </c>
      <c r="I82" s="2" t="s">
        <v>33</v>
      </c>
      <c r="J82" s="2">
        <v>7</v>
      </c>
      <c r="K82" s="2">
        <v>1041</v>
      </c>
      <c r="L82" s="2">
        <v>0</v>
      </c>
      <c r="M82" s="2">
        <v>7287</v>
      </c>
      <c r="N82" s="2">
        <v>1525</v>
      </c>
    </row>
    <row r="83" spans="1:14" x14ac:dyDescent="0.3">
      <c r="A83" s="2">
        <v>1134</v>
      </c>
      <c r="B83" s="2" t="s">
        <v>125</v>
      </c>
      <c r="C83" s="2" t="s">
        <v>29</v>
      </c>
      <c r="D83" s="2" t="s">
        <v>30</v>
      </c>
      <c r="E83" s="2" t="s">
        <v>42</v>
      </c>
      <c r="F83" s="2" t="s">
        <v>43</v>
      </c>
      <c r="G83" s="2" t="s">
        <v>26</v>
      </c>
      <c r="H83" s="2" t="s">
        <v>32</v>
      </c>
      <c r="I83" s="2" t="s">
        <v>39</v>
      </c>
      <c r="J83" s="2">
        <v>6</v>
      </c>
      <c r="K83" s="2">
        <v>14609</v>
      </c>
      <c r="L83" s="2">
        <v>0.05</v>
      </c>
      <c r="M83" s="2">
        <v>83271</v>
      </c>
      <c r="N83" s="2">
        <v>8967</v>
      </c>
    </row>
    <row r="84" spans="1:14" x14ac:dyDescent="0.3">
      <c r="A84" s="2">
        <v>1130</v>
      </c>
      <c r="B84" s="2" t="s">
        <v>126</v>
      </c>
      <c r="C84" s="2" t="s">
        <v>35</v>
      </c>
      <c r="D84" s="2" t="s">
        <v>92</v>
      </c>
      <c r="E84" s="2" t="s">
        <v>42</v>
      </c>
      <c r="F84" s="2" t="s">
        <v>46</v>
      </c>
      <c r="G84" s="2" t="s">
        <v>49</v>
      </c>
      <c r="H84" s="2" t="s">
        <v>27</v>
      </c>
      <c r="I84" s="2" t="s">
        <v>33</v>
      </c>
      <c r="J84" s="2">
        <v>8</v>
      </c>
      <c r="K84" s="2">
        <v>17974</v>
      </c>
      <c r="L84" s="2">
        <v>0.1</v>
      </c>
      <c r="M84" s="2">
        <v>129413</v>
      </c>
      <c r="N84" s="2">
        <v>11897</v>
      </c>
    </row>
    <row r="85" spans="1:14" x14ac:dyDescent="0.3">
      <c r="A85" s="2">
        <v>1020</v>
      </c>
      <c r="B85" s="2" t="s">
        <v>127</v>
      </c>
      <c r="C85" s="2" t="s">
        <v>29</v>
      </c>
      <c r="D85" s="2" t="s">
        <v>41</v>
      </c>
      <c r="E85" s="2" t="s">
        <v>17</v>
      </c>
      <c r="F85" s="2" t="s">
        <v>86</v>
      </c>
      <c r="G85" s="2" t="s">
        <v>26</v>
      </c>
      <c r="H85" s="2" t="s">
        <v>20</v>
      </c>
      <c r="I85" s="2" t="s">
        <v>21</v>
      </c>
      <c r="J85" s="2">
        <v>4</v>
      </c>
      <c r="K85" s="2">
        <v>41153</v>
      </c>
      <c r="L85" s="2">
        <v>0</v>
      </c>
      <c r="M85" s="2">
        <v>164612</v>
      </c>
      <c r="N85" s="2">
        <v>51652</v>
      </c>
    </row>
    <row r="86" spans="1:14" x14ac:dyDescent="0.3">
      <c r="A86" s="2">
        <v>1041</v>
      </c>
      <c r="B86" s="2" t="s">
        <v>127</v>
      </c>
      <c r="C86" s="2" t="s">
        <v>15</v>
      </c>
      <c r="D86" s="2" t="s">
        <v>16</v>
      </c>
      <c r="E86" s="2" t="s">
        <v>17</v>
      </c>
      <c r="F86" s="2" t="s">
        <v>86</v>
      </c>
      <c r="G86" s="2" t="s">
        <v>49</v>
      </c>
      <c r="H86" s="2" t="s">
        <v>20</v>
      </c>
      <c r="I86" s="2" t="s">
        <v>21</v>
      </c>
      <c r="J86" s="2">
        <v>5</v>
      </c>
      <c r="K86" s="2">
        <v>45735</v>
      </c>
      <c r="L86" s="2">
        <v>0</v>
      </c>
      <c r="M86" s="2">
        <v>228675</v>
      </c>
      <c r="N86" s="2">
        <v>52053</v>
      </c>
    </row>
    <row r="87" spans="1:14" x14ac:dyDescent="0.3">
      <c r="A87" s="2">
        <v>1005</v>
      </c>
      <c r="B87" s="2" t="s">
        <v>128</v>
      </c>
      <c r="C87" s="2" t="s">
        <v>35</v>
      </c>
      <c r="D87" s="2" t="s">
        <v>58</v>
      </c>
      <c r="E87" s="2" t="s">
        <v>42</v>
      </c>
      <c r="F87" s="2" t="s">
        <v>79</v>
      </c>
      <c r="G87" s="2" t="s">
        <v>49</v>
      </c>
      <c r="H87" s="2" t="s">
        <v>44</v>
      </c>
      <c r="I87" s="2" t="s">
        <v>39</v>
      </c>
      <c r="J87" s="2">
        <v>3</v>
      </c>
      <c r="K87" s="2">
        <v>15433</v>
      </c>
      <c r="L87" s="2">
        <v>0.15</v>
      </c>
      <c r="M87" s="2">
        <v>39354</v>
      </c>
      <c r="N87" s="2">
        <v>8543</v>
      </c>
    </row>
    <row r="88" spans="1:14" x14ac:dyDescent="0.3">
      <c r="A88" s="2">
        <v>1117</v>
      </c>
      <c r="B88" s="2" t="s">
        <v>129</v>
      </c>
      <c r="C88" s="2" t="s">
        <v>22</v>
      </c>
      <c r="D88" s="2" t="s">
        <v>23</v>
      </c>
      <c r="E88" s="2" t="s">
        <v>50</v>
      </c>
      <c r="F88" s="2" t="s">
        <v>84</v>
      </c>
      <c r="G88" s="2" t="s">
        <v>26</v>
      </c>
      <c r="H88" s="2" t="s">
        <v>52</v>
      </c>
      <c r="I88" s="2" t="s">
        <v>39</v>
      </c>
      <c r="J88" s="2">
        <v>5</v>
      </c>
      <c r="K88" s="2">
        <v>351</v>
      </c>
      <c r="L88" s="2">
        <v>0</v>
      </c>
      <c r="M88" s="2">
        <v>1755</v>
      </c>
      <c r="N88" s="2">
        <v>537</v>
      </c>
    </row>
    <row r="89" spans="1:14" x14ac:dyDescent="0.3">
      <c r="A89" s="2">
        <v>1054</v>
      </c>
      <c r="B89" s="2" t="s">
        <v>130</v>
      </c>
      <c r="C89" s="2" t="s">
        <v>22</v>
      </c>
      <c r="D89" s="2" t="s">
        <v>48</v>
      </c>
      <c r="E89" s="2" t="s">
        <v>24</v>
      </c>
      <c r="F89" s="2" t="s">
        <v>31</v>
      </c>
      <c r="G89" s="2" t="s">
        <v>49</v>
      </c>
      <c r="H89" s="2" t="s">
        <v>32</v>
      </c>
      <c r="I89" s="2" t="s">
        <v>33</v>
      </c>
      <c r="J89" s="2">
        <v>2</v>
      </c>
      <c r="K89" s="2">
        <v>2148</v>
      </c>
      <c r="L89" s="2">
        <v>0.1</v>
      </c>
      <c r="M89" s="2">
        <v>3866</v>
      </c>
      <c r="N89" s="2">
        <v>820</v>
      </c>
    </row>
    <row r="90" spans="1:14" x14ac:dyDescent="0.3">
      <c r="A90" s="2">
        <v>1046</v>
      </c>
      <c r="B90" s="2" t="s">
        <v>131</v>
      </c>
      <c r="C90" s="2" t="s">
        <v>29</v>
      </c>
      <c r="D90" s="2" t="s">
        <v>82</v>
      </c>
      <c r="E90" s="2" t="s">
        <v>17</v>
      </c>
      <c r="F90" s="2" t="s">
        <v>18</v>
      </c>
      <c r="G90" s="2" t="s">
        <v>26</v>
      </c>
      <c r="H90" s="2" t="s">
        <v>27</v>
      </c>
      <c r="I90" s="2" t="s">
        <v>21</v>
      </c>
      <c r="J90" s="2">
        <v>4</v>
      </c>
      <c r="K90" s="2">
        <v>34502</v>
      </c>
      <c r="L90" s="2">
        <v>0.1</v>
      </c>
      <c r="M90" s="2">
        <v>124207</v>
      </c>
      <c r="N90" s="2">
        <v>19961</v>
      </c>
    </row>
    <row r="91" spans="1:14" x14ac:dyDescent="0.3">
      <c r="A91" s="2">
        <v>1111</v>
      </c>
      <c r="B91" s="2" t="s">
        <v>131</v>
      </c>
      <c r="C91" s="2" t="s">
        <v>35</v>
      </c>
      <c r="D91" s="2" t="s">
        <v>92</v>
      </c>
      <c r="E91" s="2" t="s">
        <v>17</v>
      </c>
      <c r="F91" s="2" t="s">
        <v>18</v>
      </c>
      <c r="G91" s="2" t="s">
        <v>26</v>
      </c>
      <c r="H91" s="2" t="s">
        <v>27</v>
      </c>
      <c r="I91" s="2" t="s">
        <v>39</v>
      </c>
      <c r="J91" s="2">
        <v>5</v>
      </c>
      <c r="K91" s="2">
        <v>41776</v>
      </c>
      <c r="L91" s="2">
        <v>0</v>
      </c>
      <c r="M91" s="2">
        <v>208880</v>
      </c>
      <c r="N91" s="2">
        <v>12739</v>
      </c>
    </row>
    <row r="92" spans="1:14" x14ac:dyDescent="0.3">
      <c r="A92" s="2">
        <v>1109</v>
      </c>
      <c r="B92" s="2" t="s">
        <v>132</v>
      </c>
      <c r="C92" s="2" t="s">
        <v>35</v>
      </c>
      <c r="D92" s="2" t="s">
        <v>36</v>
      </c>
      <c r="E92" s="2" t="s">
        <v>50</v>
      </c>
      <c r="F92" s="2" t="s">
        <v>68</v>
      </c>
      <c r="G92" s="2" t="s">
        <v>19</v>
      </c>
      <c r="H92" s="2" t="s">
        <v>52</v>
      </c>
      <c r="I92" s="2" t="s">
        <v>39</v>
      </c>
      <c r="J92" s="2">
        <v>7</v>
      </c>
      <c r="K92" s="2">
        <v>831</v>
      </c>
      <c r="L92" s="2">
        <v>0.2</v>
      </c>
      <c r="M92" s="2">
        <v>4654</v>
      </c>
      <c r="N92" s="2">
        <v>327</v>
      </c>
    </row>
    <row r="93" spans="1:14" x14ac:dyDescent="0.3">
      <c r="A93" s="2">
        <v>1038</v>
      </c>
      <c r="B93" s="2" t="s">
        <v>133</v>
      </c>
      <c r="C93" s="2" t="s">
        <v>29</v>
      </c>
      <c r="D93" s="2" t="s">
        <v>82</v>
      </c>
      <c r="E93" s="2" t="s">
        <v>17</v>
      </c>
      <c r="F93" s="2" t="s">
        <v>96</v>
      </c>
      <c r="G93" s="2" t="s">
        <v>26</v>
      </c>
      <c r="H93" s="2" t="s">
        <v>20</v>
      </c>
      <c r="I93" s="2" t="s">
        <v>33</v>
      </c>
      <c r="J93" s="2">
        <v>1</v>
      </c>
      <c r="K93" s="2">
        <v>13501</v>
      </c>
      <c r="L93" s="2">
        <v>0.2</v>
      </c>
      <c r="M93" s="2">
        <v>10801</v>
      </c>
      <c r="N93" s="2">
        <v>-544</v>
      </c>
    </row>
    <row r="94" spans="1:14" x14ac:dyDescent="0.3">
      <c r="A94" s="2">
        <v>1124</v>
      </c>
      <c r="B94" s="2" t="s">
        <v>134</v>
      </c>
      <c r="C94" s="2" t="s">
        <v>22</v>
      </c>
      <c r="D94" s="2" t="s">
        <v>23</v>
      </c>
      <c r="E94" s="2" t="s">
        <v>17</v>
      </c>
      <c r="F94" s="2" t="s">
        <v>86</v>
      </c>
      <c r="G94" s="2" t="s">
        <v>26</v>
      </c>
      <c r="H94" s="2" t="s">
        <v>52</v>
      </c>
      <c r="I94" s="2" t="s">
        <v>21</v>
      </c>
      <c r="J94" s="2">
        <v>3</v>
      </c>
      <c r="K94" s="2">
        <v>36809</v>
      </c>
      <c r="L94" s="2">
        <v>0</v>
      </c>
      <c r="M94" s="2">
        <v>110427</v>
      </c>
      <c r="N94" s="2">
        <v>16791</v>
      </c>
    </row>
    <row r="95" spans="1:14" x14ac:dyDescent="0.3">
      <c r="A95" s="2">
        <v>1092</v>
      </c>
      <c r="B95" s="2" t="s">
        <v>135</v>
      </c>
      <c r="C95" s="2" t="s">
        <v>35</v>
      </c>
      <c r="D95" s="2" t="s">
        <v>92</v>
      </c>
      <c r="E95" s="2" t="s">
        <v>50</v>
      </c>
      <c r="F95" s="2" t="s">
        <v>95</v>
      </c>
      <c r="G95" s="2" t="s">
        <v>19</v>
      </c>
      <c r="H95" s="2" t="s">
        <v>32</v>
      </c>
      <c r="I95" s="2" t="s">
        <v>39</v>
      </c>
      <c r="J95" s="2">
        <v>2</v>
      </c>
      <c r="K95" s="2">
        <v>553</v>
      </c>
      <c r="L95" s="2">
        <v>0</v>
      </c>
      <c r="M95" s="2">
        <v>1106</v>
      </c>
      <c r="N95" s="2">
        <v>-78</v>
      </c>
    </row>
    <row r="96" spans="1:14" x14ac:dyDescent="0.3">
      <c r="A96" s="2">
        <v>1084</v>
      </c>
      <c r="B96" s="2" t="s">
        <v>136</v>
      </c>
      <c r="C96" s="2" t="s">
        <v>22</v>
      </c>
      <c r="D96" s="2" t="s">
        <v>48</v>
      </c>
      <c r="E96" s="2" t="s">
        <v>50</v>
      </c>
      <c r="F96" s="2" t="s">
        <v>68</v>
      </c>
      <c r="G96" s="2" t="s">
        <v>49</v>
      </c>
      <c r="H96" s="2" t="s">
        <v>38</v>
      </c>
      <c r="I96" s="2" t="s">
        <v>39</v>
      </c>
      <c r="J96" s="2">
        <v>5</v>
      </c>
      <c r="K96" s="2">
        <v>312</v>
      </c>
      <c r="L96" s="2">
        <v>0.1</v>
      </c>
      <c r="M96" s="2">
        <v>1404</v>
      </c>
      <c r="N96" s="2">
        <v>284</v>
      </c>
    </row>
    <row r="97" spans="1:14" x14ac:dyDescent="0.3">
      <c r="A97" s="2">
        <v>1044</v>
      </c>
      <c r="B97" s="2" t="s">
        <v>137</v>
      </c>
      <c r="C97" s="2" t="s">
        <v>22</v>
      </c>
      <c r="D97" s="2" t="s">
        <v>63</v>
      </c>
      <c r="E97" s="2" t="s">
        <v>17</v>
      </c>
      <c r="F97" s="2" t="s">
        <v>18</v>
      </c>
      <c r="G97" s="2" t="s">
        <v>26</v>
      </c>
      <c r="H97" s="2" t="s">
        <v>20</v>
      </c>
      <c r="I97" s="2" t="s">
        <v>39</v>
      </c>
      <c r="J97" s="2">
        <v>8</v>
      </c>
      <c r="K97" s="2">
        <v>23981</v>
      </c>
      <c r="L97" s="2">
        <v>0.15</v>
      </c>
      <c r="M97" s="2">
        <v>163071</v>
      </c>
      <c r="N97" s="2">
        <v>-14363</v>
      </c>
    </row>
    <row r="98" spans="1:14" x14ac:dyDescent="0.3">
      <c r="A98" s="2">
        <v>1042</v>
      </c>
      <c r="B98" s="2" t="s">
        <v>138</v>
      </c>
      <c r="C98" s="2" t="s">
        <v>35</v>
      </c>
      <c r="D98" s="2" t="s">
        <v>58</v>
      </c>
      <c r="E98" s="2" t="s">
        <v>17</v>
      </c>
      <c r="F98" s="2" t="s">
        <v>18</v>
      </c>
      <c r="G98" s="2" t="s">
        <v>49</v>
      </c>
      <c r="H98" s="2" t="s">
        <v>38</v>
      </c>
      <c r="I98" s="2" t="s">
        <v>33</v>
      </c>
      <c r="J98" s="2">
        <v>7</v>
      </c>
      <c r="K98" s="2">
        <v>51353</v>
      </c>
      <c r="L98" s="2">
        <v>0.15</v>
      </c>
      <c r="M98" s="2">
        <v>305550</v>
      </c>
      <c r="N98" s="2">
        <v>46556</v>
      </c>
    </row>
    <row r="99" spans="1:14" x14ac:dyDescent="0.3">
      <c r="A99" s="2">
        <v>1070</v>
      </c>
      <c r="B99" s="2" t="s">
        <v>139</v>
      </c>
      <c r="C99" s="2" t="s">
        <v>22</v>
      </c>
      <c r="D99" s="2" t="s">
        <v>63</v>
      </c>
      <c r="E99" s="2" t="s">
        <v>24</v>
      </c>
      <c r="F99" s="2" t="s">
        <v>25</v>
      </c>
      <c r="G99" s="2" t="s">
        <v>26</v>
      </c>
      <c r="H99" s="2" t="s">
        <v>27</v>
      </c>
      <c r="I99" s="2" t="s">
        <v>39</v>
      </c>
      <c r="J99" s="2">
        <v>4</v>
      </c>
      <c r="K99" s="2">
        <v>1060</v>
      </c>
      <c r="L99" s="2">
        <v>0</v>
      </c>
      <c r="M99" s="2">
        <v>4240</v>
      </c>
      <c r="N99" s="2">
        <v>1361</v>
      </c>
    </row>
    <row r="100" spans="1:14" x14ac:dyDescent="0.3">
      <c r="A100" s="2">
        <v>1011</v>
      </c>
      <c r="B100" s="2" t="s">
        <v>140</v>
      </c>
      <c r="C100" s="2" t="s">
        <v>15</v>
      </c>
      <c r="D100" s="2" t="s">
        <v>54</v>
      </c>
      <c r="E100" s="2" t="s">
        <v>50</v>
      </c>
      <c r="F100" s="2" t="s">
        <v>84</v>
      </c>
      <c r="G100" s="2" t="s">
        <v>26</v>
      </c>
      <c r="H100" s="2" t="s">
        <v>52</v>
      </c>
      <c r="I100" s="2" t="s">
        <v>33</v>
      </c>
      <c r="J100" s="2">
        <v>5</v>
      </c>
      <c r="K100" s="2">
        <v>533</v>
      </c>
      <c r="L100" s="2">
        <v>0.1</v>
      </c>
      <c r="M100" s="2">
        <v>2398</v>
      </c>
      <c r="N100" s="2">
        <v>663</v>
      </c>
    </row>
    <row r="101" spans="1:14" x14ac:dyDescent="0.3">
      <c r="A101" s="2">
        <v>1002</v>
      </c>
      <c r="B101" s="2" t="s">
        <v>141</v>
      </c>
      <c r="C101" s="2" t="s">
        <v>29</v>
      </c>
      <c r="D101" s="2" t="s">
        <v>82</v>
      </c>
      <c r="E101" s="2" t="s">
        <v>50</v>
      </c>
      <c r="F101" s="2" t="s">
        <v>51</v>
      </c>
      <c r="G101" s="2" t="s">
        <v>49</v>
      </c>
      <c r="H101" s="2" t="s">
        <v>27</v>
      </c>
      <c r="I101" s="2" t="s">
        <v>39</v>
      </c>
      <c r="J101" s="2">
        <v>1</v>
      </c>
      <c r="K101" s="2">
        <v>796</v>
      </c>
      <c r="L101" s="2">
        <v>0</v>
      </c>
      <c r="M101" s="2">
        <v>796</v>
      </c>
      <c r="N101" s="2">
        <v>77</v>
      </c>
    </row>
    <row r="102" spans="1:14" x14ac:dyDescent="0.3">
      <c r="A102" s="2">
        <v>1064</v>
      </c>
      <c r="B102" s="2" t="s">
        <v>141</v>
      </c>
      <c r="C102" s="2" t="s">
        <v>15</v>
      </c>
      <c r="D102" s="2" t="s">
        <v>16</v>
      </c>
      <c r="E102" s="2" t="s">
        <v>42</v>
      </c>
      <c r="F102" s="2" t="s">
        <v>60</v>
      </c>
      <c r="G102" s="2" t="s">
        <v>19</v>
      </c>
      <c r="H102" s="2" t="s">
        <v>27</v>
      </c>
      <c r="I102" s="2" t="s">
        <v>21</v>
      </c>
      <c r="J102" s="2">
        <v>8</v>
      </c>
      <c r="K102" s="2">
        <v>11684</v>
      </c>
      <c r="L102" s="2">
        <v>0.15</v>
      </c>
      <c r="M102" s="2">
        <v>79451</v>
      </c>
      <c r="N102" s="2">
        <v>13447</v>
      </c>
    </row>
    <row r="103" spans="1:14" x14ac:dyDescent="0.3">
      <c r="A103" s="2">
        <v>1062</v>
      </c>
      <c r="B103" s="2" t="s">
        <v>142</v>
      </c>
      <c r="C103" s="2" t="s">
        <v>22</v>
      </c>
      <c r="D103" s="2" t="s">
        <v>23</v>
      </c>
      <c r="E103" s="2" t="s">
        <v>50</v>
      </c>
      <c r="F103" s="2" t="s">
        <v>95</v>
      </c>
      <c r="G103" s="2" t="s">
        <v>19</v>
      </c>
      <c r="H103" s="2" t="s">
        <v>27</v>
      </c>
      <c r="I103" s="2" t="s">
        <v>33</v>
      </c>
      <c r="J103" s="2">
        <v>6</v>
      </c>
      <c r="K103" s="2">
        <v>884</v>
      </c>
      <c r="L103" s="2">
        <v>0</v>
      </c>
      <c r="M103" s="2">
        <v>5304</v>
      </c>
      <c r="N103" s="2">
        <v>1627</v>
      </c>
    </row>
    <row r="104" spans="1:14" x14ac:dyDescent="0.3">
      <c r="A104" s="2">
        <v>1068</v>
      </c>
      <c r="B104" s="2" t="s">
        <v>142</v>
      </c>
      <c r="C104" s="2" t="s">
        <v>15</v>
      </c>
      <c r="D104" s="2" t="s">
        <v>66</v>
      </c>
      <c r="E104" s="2" t="s">
        <v>50</v>
      </c>
      <c r="F104" s="2" t="s">
        <v>51</v>
      </c>
      <c r="G104" s="2" t="s">
        <v>49</v>
      </c>
      <c r="H104" s="2" t="s">
        <v>38</v>
      </c>
      <c r="I104" s="2" t="s">
        <v>39</v>
      </c>
      <c r="J104" s="2">
        <v>5</v>
      </c>
      <c r="K104" s="2">
        <v>1035</v>
      </c>
      <c r="L104" s="2">
        <v>0.2</v>
      </c>
      <c r="M104" s="2">
        <v>4140</v>
      </c>
      <c r="N104" s="2">
        <v>582</v>
      </c>
    </row>
    <row r="105" spans="1:14" x14ac:dyDescent="0.3">
      <c r="A105" s="2">
        <v>1095</v>
      </c>
      <c r="B105" s="2" t="s">
        <v>143</v>
      </c>
      <c r="C105" s="2" t="s">
        <v>35</v>
      </c>
      <c r="D105" s="2" t="s">
        <v>36</v>
      </c>
      <c r="E105" s="2" t="s">
        <v>50</v>
      </c>
      <c r="F105" s="2" t="s">
        <v>95</v>
      </c>
      <c r="G105" s="2" t="s">
        <v>19</v>
      </c>
      <c r="H105" s="2" t="s">
        <v>32</v>
      </c>
      <c r="I105" s="2" t="s">
        <v>21</v>
      </c>
      <c r="J105" s="2">
        <v>1</v>
      </c>
      <c r="K105" s="2">
        <v>257</v>
      </c>
      <c r="L105" s="2">
        <v>0.15</v>
      </c>
      <c r="M105" s="2">
        <v>218</v>
      </c>
      <c r="N105" s="2">
        <v>67</v>
      </c>
    </row>
    <row r="106" spans="1:14" x14ac:dyDescent="0.3">
      <c r="A106" s="2">
        <v>1016</v>
      </c>
      <c r="B106" s="2" t="s">
        <v>144</v>
      </c>
      <c r="C106" s="2" t="s">
        <v>35</v>
      </c>
      <c r="D106" s="2" t="s">
        <v>58</v>
      </c>
      <c r="E106" s="2" t="s">
        <v>17</v>
      </c>
      <c r="F106" s="2" t="s">
        <v>86</v>
      </c>
      <c r="G106" s="2" t="s">
        <v>26</v>
      </c>
      <c r="H106" s="2" t="s">
        <v>20</v>
      </c>
      <c r="I106" s="2" t="s">
        <v>39</v>
      </c>
      <c r="J106" s="2">
        <v>4</v>
      </c>
      <c r="K106" s="2">
        <v>18899</v>
      </c>
      <c r="L106" s="2">
        <v>0</v>
      </c>
      <c r="M106" s="2">
        <v>75596</v>
      </c>
      <c r="N106" s="2">
        <v>23389</v>
      </c>
    </row>
    <row r="107" spans="1:14" x14ac:dyDescent="0.3">
      <c r="A107" s="2">
        <v>1098</v>
      </c>
      <c r="B107" s="2" t="s">
        <v>145</v>
      </c>
      <c r="C107" s="2" t="s">
        <v>22</v>
      </c>
      <c r="D107" s="2" t="s">
        <v>63</v>
      </c>
      <c r="E107" s="2" t="s">
        <v>24</v>
      </c>
      <c r="F107" s="2" t="s">
        <v>55</v>
      </c>
      <c r="G107" s="2" t="s">
        <v>26</v>
      </c>
      <c r="H107" s="2" t="s">
        <v>27</v>
      </c>
      <c r="I107" s="2" t="s">
        <v>21</v>
      </c>
      <c r="J107" s="2">
        <v>7</v>
      </c>
      <c r="K107" s="2">
        <v>2968</v>
      </c>
      <c r="L107" s="2">
        <v>0</v>
      </c>
      <c r="M107" s="2">
        <v>20776</v>
      </c>
      <c r="N107" s="2">
        <v>1547</v>
      </c>
    </row>
    <row r="108" spans="1:14" x14ac:dyDescent="0.3">
      <c r="A108" s="2">
        <v>1104</v>
      </c>
      <c r="B108" s="2" t="s">
        <v>146</v>
      </c>
      <c r="C108" s="2" t="s">
        <v>22</v>
      </c>
      <c r="D108" s="2" t="s">
        <v>63</v>
      </c>
      <c r="E108" s="2" t="s">
        <v>42</v>
      </c>
      <c r="F108" s="2" t="s">
        <v>46</v>
      </c>
      <c r="G108" s="2" t="s">
        <v>26</v>
      </c>
      <c r="H108" s="2" t="s">
        <v>44</v>
      </c>
      <c r="I108" s="2" t="s">
        <v>39</v>
      </c>
      <c r="J108" s="2">
        <v>8</v>
      </c>
      <c r="K108" s="2">
        <v>7828</v>
      </c>
      <c r="L108" s="2">
        <v>0</v>
      </c>
      <c r="M108" s="2">
        <v>62624</v>
      </c>
      <c r="N108" s="2">
        <v>18475</v>
      </c>
    </row>
    <row r="109" spans="1:14" x14ac:dyDescent="0.3">
      <c r="A109" s="2">
        <v>1123</v>
      </c>
      <c r="B109" s="2" t="s">
        <v>147</v>
      </c>
      <c r="C109" s="2" t="s">
        <v>35</v>
      </c>
      <c r="D109" s="2" t="s">
        <v>92</v>
      </c>
      <c r="E109" s="2" t="s">
        <v>24</v>
      </c>
      <c r="F109" s="2" t="s">
        <v>25</v>
      </c>
      <c r="G109" s="2" t="s">
        <v>26</v>
      </c>
      <c r="H109" s="2" t="s">
        <v>27</v>
      </c>
      <c r="I109" s="2" t="s">
        <v>39</v>
      </c>
      <c r="J109" s="2">
        <v>7</v>
      </c>
      <c r="K109" s="2">
        <v>624</v>
      </c>
      <c r="L109" s="2">
        <v>0.15</v>
      </c>
      <c r="M109" s="2">
        <v>3713</v>
      </c>
      <c r="N109" s="2">
        <v>793</v>
      </c>
    </row>
    <row r="110" spans="1:14" x14ac:dyDescent="0.3">
      <c r="A110" s="2">
        <v>1028</v>
      </c>
      <c r="B110" s="2" t="s">
        <v>148</v>
      </c>
      <c r="C110" s="2" t="s">
        <v>35</v>
      </c>
      <c r="D110" s="2" t="s">
        <v>58</v>
      </c>
      <c r="E110" s="2" t="s">
        <v>42</v>
      </c>
      <c r="F110" s="2" t="s">
        <v>46</v>
      </c>
      <c r="G110" s="2" t="s">
        <v>19</v>
      </c>
      <c r="H110" s="2" t="s">
        <v>27</v>
      </c>
      <c r="I110" s="2" t="s">
        <v>33</v>
      </c>
      <c r="J110" s="2">
        <v>7</v>
      </c>
      <c r="K110" s="2">
        <v>24765</v>
      </c>
      <c r="L110" s="2">
        <v>0</v>
      </c>
      <c r="M110" s="2">
        <v>173355</v>
      </c>
      <c r="N110" s="2">
        <v>43168</v>
      </c>
    </row>
    <row r="111" spans="1:14" x14ac:dyDescent="0.3">
      <c r="A111" s="2">
        <v>1083</v>
      </c>
      <c r="B111" s="2" t="s">
        <v>149</v>
      </c>
      <c r="C111" s="2" t="s">
        <v>35</v>
      </c>
      <c r="D111" s="2" t="s">
        <v>92</v>
      </c>
      <c r="E111" s="2" t="s">
        <v>17</v>
      </c>
      <c r="F111" s="2" t="s">
        <v>86</v>
      </c>
      <c r="G111" s="2" t="s">
        <v>19</v>
      </c>
      <c r="H111" s="2" t="s">
        <v>27</v>
      </c>
      <c r="I111" s="2" t="s">
        <v>39</v>
      </c>
      <c r="J111" s="2">
        <v>7</v>
      </c>
      <c r="K111" s="2">
        <v>14328</v>
      </c>
      <c r="L111" s="2">
        <v>0</v>
      </c>
      <c r="M111" s="2">
        <v>100296</v>
      </c>
      <c r="N111" s="2">
        <v>22661</v>
      </c>
    </row>
    <row r="112" spans="1:14" x14ac:dyDescent="0.3">
      <c r="A112" s="2">
        <v>1125</v>
      </c>
      <c r="B112" s="2" t="s">
        <v>150</v>
      </c>
      <c r="C112" s="2" t="s">
        <v>29</v>
      </c>
      <c r="D112" s="2" t="s">
        <v>82</v>
      </c>
      <c r="E112" s="2" t="s">
        <v>24</v>
      </c>
      <c r="F112" s="2" t="s">
        <v>55</v>
      </c>
      <c r="G112" s="2" t="s">
        <v>26</v>
      </c>
      <c r="H112" s="2" t="s">
        <v>27</v>
      </c>
      <c r="I112" s="2" t="s">
        <v>21</v>
      </c>
      <c r="J112" s="2">
        <v>6</v>
      </c>
      <c r="K112" s="2">
        <v>1001</v>
      </c>
      <c r="L112" s="2">
        <v>0.05</v>
      </c>
      <c r="M112" s="2">
        <v>5706</v>
      </c>
      <c r="N112" s="2">
        <v>710</v>
      </c>
    </row>
    <row r="113" spans="1:14" x14ac:dyDescent="0.3">
      <c r="A113" s="2">
        <v>1007</v>
      </c>
      <c r="B113" s="2" t="s">
        <v>151</v>
      </c>
      <c r="C113" s="2" t="s">
        <v>29</v>
      </c>
      <c r="D113" s="2" t="s">
        <v>41</v>
      </c>
      <c r="E113" s="2" t="s">
        <v>50</v>
      </c>
      <c r="F113" s="2" t="s">
        <v>51</v>
      </c>
      <c r="G113" s="2" t="s">
        <v>49</v>
      </c>
      <c r="H113" s="2" t="s">
        <v>52</v>
      </c>
      <c r="I113" s="2" t="s">
        <v>21</v>
      </c>
      <c r="J113" s="2">
        <v>4</v>
      </c>
      <c r="K113" s="2">
        <v>286</v>
      </c>
      <c r="L113" s="2">
        <v>0.2</v>
      </c>
      <c r="M113" s="2">
        <v>915</v>
      </c>
      <c r="N113" s="2">
        <v>59</v>
      </c>
    </row>
    <row r="114" spans="1:14" x14ac:dyDescent="0.3">
      <c r="A114" s="2">
        <v>1099</v>
      </c>
      <c r="B114" s="2" t="s">
        <v>151</v>
      </c>
      <c r="C114" s="2" t="s">
        <v>15</v>
      </c>
      <c r="D114" s="2" t="s">
        <v>54</v>
      </c>
      <c r="E114" s="2" t="s">
        <v>17</v>
      </c>
      <c r="F114" s="2" t="s">
        <v>18</v>
      </c>
      <c r="G114" s="2" t="s">
        <v>19</v>
      </c>
      <c r="H114" s="2" t="s">
        <v>52</v>
      </c>
      <c r="I114" s="2" t="s">
        <v>39</v>
      </c>
      <c r="J114" s="2">
        <v>7</v>
      </c>
      <c r="K114" s="2">
        <v>50171</v>
      </c>
      <c r="L114" s="2">
        <v>0.15</v>
      </c>
      <c r="M114" s="2">
        <v>298517</v>
      </c>
      <c r="N114" s="2">
        <v>89163</v>
      </c>
    </row>
    <row r="115" spans="1:14" x14ac:dyDescent="0.3">
      <c r="A115" s="2">
        <v>1106</v>
      </c>
      <c r="B115" s="2" t="s">
        <v>151</v>
      </c>
      <c r="C115" s="2" t="s">
        <v>29</v>
      </c>
      <c r="D115" s="2" t="s">
        <v>41</v>
      </c>
      <c r="E115" s="2" t="s">
        <v>42</v>
      </c>
      <c r="F115" s="2" t="s">
        <v>43</v>
      </c>
      <c r="G115" s="2" t="s">
        <v>19</v>
      </c>
      <c r="H115" s="2" t="s">
        <v>52</v>
      </c>
      <c r="I115" s="2" t="s">
        <v>21</v>
      </c>
      <c r="J115" s="2">
        <v>8</v>
      </c>
      <c r="K115" s="2">
        <v>3172</v>
      </c>
      <c r="L115" s="2">
        <v>0</v>
      </c>
      <c r="M115" s="2">
        <v>25376</v>
      </c>
      <c r="N115" s="2">
        <v>2911</v>
      </c>
    </row>
    <row r="116" spans="1:14" x14ac:dyDescent="0.3">
      <c r="A116" s="2">
        <v>1112</v>
      </c>
      <c r="B116" s="2" t="s">
        <v>152</v>
      </c>
      <c r="C116" s="2" t="s">
        <v>22</v>
      </c>
      <c r="D116" s="2" t="s">
        <v>63</v>
      </c>
      <c r="E116" s="2" t="s">
        <v>24</v>
      </c>
      <c r="F116" s="2" t="s">
        <v>31</v>
      </c>
      <c r="G116" s="2" t="s">
        <v>26</v>
      </c>
      <c r="H116" s="2" t="s">
        <v>32</v>
      </c>
      <c r="I116" s="2" t="s">
        <v>39</v>
      </c>
      <c r="J116" s="2">
        <v>7</v>
      </c>
      <c r="K116" s="2">
        <v>2083</v>
      </c>
      <c r="L116" s="2">
        <v>0</v>
      </c>
      <c r="M116" s="2">
        <v>14581</v>
      </c>
      <c r="N116" s="2">
        <v>2900</v>
      </c>
    </row>
    <row r="117" spans="1:14" x14ac:dyDescent="0.3">
      <c r="A117" s="2">
        <v>1022</v>
      </c>
      <c r="B117" s="2" t="s">
        <v>153</v>
      </c>
      <c r="C117" s="2" t="s">
        <v>29</v>
      </c>
      <c r="D117" s="2" t="s">
        <v>30</v>
      </c>
      <c r="E117" s="2" t="s">
        <v>17</v>
      </c>
      <c r="F117" s="2" t="s">
        <v>86</v>
      </c>
      <c r="G117" s="2" t="s">
        <v>19</v>
      </c>
      <c r="H117" s="2" t="s">
        <v>20</v>
      </c>
      <c r="I117" s="2" t="s">
        <v>33</v>
      </c>
      <c r="J117" s="2">
        <v>7</v>
      </c>
      <c r="K117" s="2">
        <v>26132</v>
      </c>
      <c r="L117" s="2">
        <v>0.2</v>
      </c>
      <c r="M117" s="2">
        <v>146339</v>
      </c>
      <c r="N117" s="2">
        <v>13060</v>
      </c>
    </row>
    <row r="118" spans="1:14" x14ac:dyDescent="0.3">
      <c r="A118" s="2">
        <v>1090</v>
      </c>
      <c r="B118" s="2" t="s">
        <v>154</v>
      </c>
      <c r="C118" s="2" t="s">
        <v>29</v>
      </c>
      <c r="D118" s="2" t="s">
        <v>82</v>
      </c>
      <c r="E118" s="2" t="s">
        <v>42</v>
      </c>
      <c r="F118" s="2" t="s">
        <v>43</v>
      </c>
      <c r="G118" s="2" t="s">
        <v>26</v>
      </c>
      <c r="H118" s="2" t="s">
        <v>44</v>
      </c>
      <c r="I118" s="2" t="s">
        <v>21</v>
      </c>
      <c r="J118" s="2">
        <v>4</v>
      </c>
      <c r="K118" s="2">
        <v>21308</v>
      </c>
      <c r="L118" s="2">
        <v>0.05</v>
      </c>
      <c r="M118" s="2">
        <v>80970</v>
      </c>
      <c r="N118" s="2">
        <v>-1741</v>
      </c>
    </row>
    <row r="119" spans="1:14" x14ac:dyDescent="0.3">
      <c r="A119" s="2">
        <v>1127</v>
      </c>
      <c r="B119" s="2" t="s">
        <v>155</v>
      </c>
      <c r="C119" s="2" t="s">
        <v>29</v>
      </c>
      <c r="D119" s="2" t="s">
        <v>82</v>
      </c>
      <c r="E119" s="2" t="s">
        <v>42</v>
      </c>
      <c r="F119" s="2" t="s">
        <v>46</v>
      </c>
      <c r="G119" s="2" t="s">
        <v>49</v>
      </c>
      <c r="H119" s="2" t="s">
        <v>32</v>
      </c>
      <c r="I119" s="2" t="s">
        <v>39</v>
      </c>
      <c r="J119" s="2">
        <v>1</v>
      </c>
      <c r="K119" s="2">
        <v>12219</v>
      </c>
      <c r="L119" s="2">
        <v>0.2</v>
      </c>
      <c r="M119" s="2">
        <v>9775</v>
      </c>
      <c r="N119" s="2">
        <v>2407</v>
      </c>
    </row>
    <row r="120" spans="1:14" x14ac:dyDescent="0.3">
      <c r="A120" s="2">
        <v>1008</v>
      </c>
      <c r="B120" s="2" t="s">
        <v>156</v>
      </c>
      <c r="C120" s="2" t="s">
        <v>35</v>
      </c>
      <c r="D120" s="2" t="s">
        <v>36</v>
      </c>
      <c r="E120" s="2" t="s">
        <v>50</v>
      </c>
      <c r="F120" s="2" t="s">
        <v>95</v>
      </c>
      <c r="G120" s="2" t="s">
        <v>49</v>
      </c>
      <c r="H120" s="2" t="s">
        <v>27</v>
      </c>
      <c r="I120" s="2" t="s">
        <v>33</v>
      </c>
      <c r="J120" s="2">
        <v>5</v>
      </c>
      <c r="K120" s="2">
        <v>1496</v>
      </c>
      <c r="L120" s="2">
        <v>0.1</v>
      </c>
      <c r="M120" s="2">
        <v>6732</v>
      </c>
      <c r="N120" s="2">
        <v>1853</v>
      </c>
    </row>
    <row r="121" spans="1:14" x14ac:dyDescent="0.3">
      <c r="A121" s="2">
        <v>1027</v>
      </c>
      <c r="B121" s="2" t="s">
        <v>157</v>
      </c>
      <c r="C121" s="2" t="s">
        <v>22</v>
      </c>
      <c r="D121" s="2" t="s">
        <v>63</v>
      </c>
      <c r="E121" s="2" t="s">
        <v>17</v>
      </c>
      <c r="F121" s="2" t="s">
        <v>96</v>
      </c>
      <c r="G121" s="2" t="s">
        <v>26</v>
      </c>
      <c r="H121" s="2" t="s">
        <v>20</v>
      </c>
      <c r="I121" s="2" t="s">
        <v>39</v>
      </c>
      <c r="J121" s="2">
        <v>6</v>
      </c>
      <c r="K121" s="2">
        <v>55745</v>
      </c>
      <c r="L121" s="2">
        <v>0.1</v>
      </c>
      <c r="M121" s="2">
        <v>301023</v>
      </c>
      <c r="N121" s="2">
        <v>25495</v>
      </c>
    </row>
    <row r="122" spans="1:14" x14ac:dyDescent="0.3">
      <c r="A122" s="2">
        <v>1091</v>
      </c>
      <c r="B122" s="2" t="s">
        <v>157</v>
      </c>
      <c r="C122" s="2" t="s">
        <v>29</v>
      </c>
      <c r="D122" s="2" t="s">
        <v>41</v>
      </c>
      <c r="E122" s="2" t="s">
        <v>50</v>
      </c>
      <c r="F122" s="2" t="s">
        <v>51</v>
      </c>
      <c r="G122" s="2" t="s">
        <v>26</v>
      </c>
      <c r="H122" s="2" t="s">
        <v>52</v>
      </c>
      <c r="I122" s="2" t="s">
        <v>39</v>
      </c>
      <c r="J122" s="2">
        <v>2</v>
      </c>
      <c r="K122" s="2">
        <v>451</v>
      </c>
      <c r="L122" s="2">
        <v>0.2</v>
      </c>
      <c r="M122" s="2">
        <v>722</v>
      </c>
      <c r="N122" s="2">
        <v>241</v>
      </c>
    </row>
    <row r="123" spans="1:14" x14ac:dyDescent="0.3">
      <c r="A123" s="2">
        <v>1034</v>
      </c>
      <c r="B123" s="2" t="s">
        <v>158</v>
      </c>
      <c r="C123" s="2" t="s">
        <v>29</v>
      </c>
      <c r="D123" s="2" t="s">
        <v>41</v>
      </c>
      <c r="E123" s="2" t="s">
        <v>50</v>
      </c>
      <c r="F123" s="2" t="s">
        <v>84</v>
      </c>
      <c r="G123" s="2" t="s">
        <v>49</v>
      </c>
      <c r="H123" s="2" t="s">
        <v>52</v>
      </c>
      <c r="I123" s="2" t="s">
        <v>33</v>
      </c>
      <c r="J123" s="2">
        <v>8</v>
      </c>
      <c r="K123" s="2">
        <v>1405</v>
      </c>
      <c r="L123" s="2">
        <v>0</v>
      </c>
      <c r="M123" s="2">
        <v>11240</v>
      </c>
      <c r="N123" s="2">
        <v>3144</v>
      </c>
    </row>
    <row r="124" spans="1:14" x14ac:dyDescent="0.3">
      <c r="A124" s="2">
        <v>1132</v>
      </c>
      <c r="B124" s="2" t="s">
        <v>158</v>
      </c>
      <c r="C124" s="2" t="s">
        <v>29</v>
      </c>
      <c r="D124" s="2" t="s">
        <v>30</v>
      </c>
      <c r="E124" s="2" t="s">
        <v>42</v>
      </c>
      <c r="F124" s="2" t="s">
        <v>60</v>
      </c>
      <c r="G124" s="2" t="s">
        <v>49</v>
      </c>
      <c r="H124" s="2" t="s">
        <v>44</v>
      </c>
      <c r="I124" s="2" t="s">
        <v>39</v>
      </c>
      <c r="J124" s="2">
        <v>8</v>
      </c>
      <c r="K124" s="2">
        <v>20178</v>
      </c>
      <c r="L124" s="2">
        <v>0.2</v>
      </c>
      <c r="M124" s="2">
        <v>129139</v>
      </c>
      <c r="N124" s="2">
        <v>-12379</v>
      </c>
    </row>
    <row r="125" spans="1:14" x14ac:dyDescent="0.3">
      <c r="A125" s="2">
        <v>1065</v>
      </c>
      <c r="B125" s="2" t="s">
        <v>159</v>
      </c>
      <c r="C125" s="2" t="s">
        <v>22</v>
      </c>
      <c r="D125" s="2" t="s">
        <v>48</v>
      </c>
      <c r="E125" s="2" t="s">
        <v>50</v>
      </c>
      <c r="F125" s="2" t="s">
        <v>68</v>
      </c>
      <c r="G125" s="2" t="s">
        <v>19</v>
      </c>
      <c r="H125" s="2" t="s">
        <v>52</v>
      </c>
      <c r="I125" s="2" t="s">
        <v>39</v>
      </c>
      <c r="J125" s="2">
        <v>2</v>
      </c>
      <c r="K125" s="2">
        <v>565</v>
      </c>
      <c r="L125" s="2">
        <v>0.15</v>
      </c>
      <c r="M125" s="2">
        <v>960</v>
      </c>
      <c r="N125" s="2">
        <v>74</v>
      </c>
    </row>
    <row r="126" spans="1:14" x14ac:dyDescent="0.3">
      <c r="A126" s="2">
        <v>1075</v>
      </c>
      <c r="B126" s="2" t="s">
        <v>159</v>
      </c>
      <c r="C126" s="2" t="s">
        <v>22</v>
      </c>
      <c r="D126" s="2" t="s">
        <v>48</v>
      </c>
      <c r="E126" s="2" t="s">
        <v>50</v>
      </c>
      <c r="F126" s="2" t="s">
        <v>84</v>
      </c>
      <c r="G126" s="2" t="s">
        <v>26</v>
      </c>
      <c r="H126" s="2" t="s">
        <v>52</v>
      </c>
      <c r="I126" s="2" t="s">
        <v>39</v>
      </c>
      <c r="J126" s="2">
        <v>7</v>
      </c>
      <c r="K126" s="2">
        <v>1360</v>
      </c>
      <c r="L126" s="2">
        <v>0.05</v>
      </c>
      <c r="M126" s="2">
        <v>9044</v>
      </c>
      <c r="N126" s="2">
        <v>3000</v>
      </c>
    </row>
    <row r="127" spans="1:14" x14ac:dyDescent="0.3">
      <c r="A127" s="2">
        <v>1113</v>
      </c>
      <c r="B127" s="2" t="s">
        <v>159</v>
      </c>
      <c r="C127" s="2" t="s">
        <v>35</v>
      </c>
      <c r="D127" s="2" t="s">
        <v>36</v>
      </c>
      <c r="E127" s="2" t="s">
        <v>42</v>
      </c>
      <c r="F127" s="2" t="s">
        <v>46</v>
      </c>
      <c r="G127" s="2" t="s">
        <v>49</v>
      </c>
      <c r="H127" s="2" t="s">
        <v>38</v>
      </c>
      <c r="I127" s="2" t="s">
        <v>21</v>
      </c>
      <c r="J127" s="2">
        <v>6</v>
      </c>
      <c r="K127" s="2">
        <v>5623</v>
      </c>
      <c r="L127" s="2">
        <v>0</v>
      </c>
      <c r="M127" s="2">
        <v>33738</v>
      </c>
      <c r="N127" s="2">
        <v>4789</v>
      </c>
    </row>
    <row r="128" spans="1:14" x14ac:dyDescent="0.3">
      <c r="A128" s="2">
        <v>1115</v>
      </c>
      <c r="B128" s="2" t="s">
        <v>159</v>
      </c>
      <c r="C128" s="2" t="s">
        <v>15</v>
      </c>
      <c r="D128" s="2" t="s">
        <v>54</v>
      </c>
      <c r="E128" s="2" t="s">
        <v>50</v>
      </c>
      <c r="F128" s="2" t="s">
        <v>68</v>
      </c>
      <c r="G128" s="2" t="s">
        <v>26</v>
      </c>
      <c r="H128" s="2" t="s">
        <v>38</v>
      </c>
      <c r="I128" s="2" t="s">
        <v>33</v>
      </c>
      <c r="J128" s="2">
        <v>3</v>
      </c>
      <c r="K128" s="2">
        <v>841</v>
      </c>
      <c r="L128" s="2">
        <v>0.05</v>
      </c>
      <c r="M128" s="2">
        <v>2397</v>
      </c>
      <c r="N128" s="2">
        <v>-77</v>
      </c>
    </row>
    <row r="129" spans="1:14" x14ac:dyDescent="0.3">
      <c r="A129" s="2">
        <v>1128</v>
      </c>
      <c r="B129" s="2" t="s">
        <v>160</v>
      </c>
      <c r="C129" s="2" t="s">
        <v>15</v>
      </c>
      <c r="D129" s="2" t="s">
        <v>16</v>
      </c>
      <c r="E129" s="2" t="s">
        <v>24</v>
      </c>
      <c r="F129" s="2" t="s">
        <v>31</v>
      </c>
      <c r="G129" s="2" t="s">
        <v>26</v>
      </c>
      <c r="H129" s="2" t="s">
        <v>44</v>
      </c>
      <c r="I129" s="2" t="s">
        <v>21</v>
      </c>
      <c r="J129" s="2">
        <v>6</v>
      </c>
      <c r="K129" s="2">
        <v>709</v>
      </c>
      <c r="L129" s="2">
        <v>0.1</v>
      </c>
      <c r="M129" s="2">
        <v>3829</v>
      </c>
      <c r="N129" s="2">
        <v>415</v>
      </c>
    </row>
    <row r="130" spans="1:14" x14ac:dyDescent="0.3">
      <c r="A130" s="2">
        <v>1052</v>
      </c>
      <c r="B130" s="2" t="s">
        <v>161</v>
      </c>
      <c r="C130" s="2" t="s">
        <v>15</v>
      </c>
      <c r="D130" s="2" t="s">
        <v>66</v>
      </c>
      <c r="E130" s="2" t="s">
        <v>42</v>
      </c>
      <c r="F130" s="2" t="s">
        <v>60</v>
      </c>
      <c r="G130" s="2" t="s">
        <v>26</v>
      </c>
      <c r="H130" s="2" t="s">
        <v>52</v>
      </c>
      <c r="I130" s="2" t="s">
        <v>21</v>
      </c>
      <c r="J130" s="2">
        <v>3</v>
      </c>
      <c r="K130" s="2">
        <v>16386</v>
      </c>
      <c r="L130" s="2">
        <v>0.05</v>
      </c>
      <c r="M130" s="2">
        <v>46700</v>
      </c>
      <c r="N130" s="2">
        <v>6416</v>
      </c>
    </row>
    <row r="131" spans="1:14" x14ac:dyDescent="0.3">
      <c r="A131" s="2">
        <v>1072</v>
      </c>
      <c r="B131" s="2" t="s">
        <v>161</v>
      </c>
      <c r="C131" s="2" t="s">
        <v>22</v>
      </c>
      <c r="D131" s="2" t="s">
        <v>63</v>
      </c>
      <c r="E131" s="2" t="s">
        <v>50</v>
      </c>
      <c r="F131" s="2" t="s">
        <v>68</v>
      </c>
      <c r="G131" s="2" t="s">
        <v>19</v>
      </c>
      <c r="H131" s="2" t="s">
        <v>27</v>
      </c>
      <c r="I131" s="2" t="s">
        <v>39</v>
      </c>
      <c r="J131" s="2">
        <v>3</v>
      </c>
      <c r="K131" s="2">
        <v>1241</v>
      </c>
      <c r="L131" s="2">
        <v>0</v>
      </c>
      <c r="M131" s="2">
        <v>3723</v>
      </c>
      <c r="N131" s="2">
        <v>287</v>
      </c>
    </row>
    <row r="132" spans="1:14" x14ac:dyDescent="0.3">
      <c r="A132" s="2">
        <v>1074</v>
      </c>
      <c r="B132" s="2" t="s">
        <v>161</v>
      </c>
      <c r="C132" s="2" t="s">
        <v>29</v>
      </c>
      <c r="D132" s="2" t="s">
        <v>41</v>
      </c>
      <c r="E132" s="2" t="s">
        <v>24</v>
      </c>
      <c r="F132" s="2" t="s">
        <v>31</v>
      </c>
      <c r="G132" s="2" t="s">
        <v>49</v>
      </c>
      <c r="H132" s="2" t="s">
        <v>32</v>
      </c>
      <c r="I132" s="2" t="s">
        <v>33</v>
      </c>
      <c r="J132" s="2">
        <v>2</v>
      </c>
      <c r="K132" s="2">
        <v>652</v>
      </c>
      <c r="L132" s="2">
        <v>0.05</v>
      </c>
      <c r="M132" s="2">
        <v>1239</v>
      </c>
      <c r="N132" s="2">
        <v>105</v>
      </c>
    </row>
    <row r="133" spans="1:14" x14ac:dyDescent="0.3">
      <c r="A133" s="2">
        <v>1139</v>
      </c>
      <c r="B133" s="2" t="s">
        <v>161</v>
      </c>
      <c r="C133" s="2" t="s">
        <v>15</v>
      </c>
      <c r="D133" s="2" t="s">
        <v>16</v>
      </c>
      <c r="E133" s="2" t="s">
        <v>42</v>
      </c>
      <c r="F133" s="2" t="s">
        <v>60</v>
      </c>
      <c r="G133" s="2" t="s">
        <v>26</v>
      </c>
      <c r="H133" s="2" t="s">
        <v>44</v>
      </c>
      <c r="I133" s="2" t="s">
        <v>33</v>
      </c>
      <c r="J133" s="2">
        <v>7</v>
      </c>
      <c r="K133" s="2">
        <v>19232</v>
      </c>
      <c r="L133" s="2">
        <v>0</v>
      </c>
      <c r="M133" s="2">
        <v>134624</v>
      </c>
      <c r="N133" s="2">
        <v>7105</v>
      </c>
    </row>
    <row r="134" spans="1:14" x14ac:dyDescent="0.3">
      <c r="A134" s="2">
        <v>1031</v>
      </c>
      <c r="B134" s="2" t="s">
        <v>162</v>
      </c>
      <c r="C134" s="2" t="s">
        <v>22</v>
      </c>
      <c r="D134" s="2" t="s">
        <v>48</v>
      </c>
      <c r="E134" s="2" t="s">
        <v>24</v>
      </c>
      <c r="F134" s="2" t="s">
        <v>55</v>
      </c>
      <c r="G134" s="2" t="s">
        <v>19</v>
      </c>
      <c r="H134" s="2" t="s">
        <v>38</v>
      </c>
      <c r="I134" s="2" t="s">
        <v>39</v>
      </c>
      <c r="J134" s="2">
        <v>4</v>
      </c>
      <c r="K134" s="2">
        <v>1420</v>
      </c>
      <c r="L134" s="2">
        <v>0</v>
      </c>
      <c r="M134" s="2">
        <v>5680</v>
      </c>
      <c r="N134" s="2">
        <v>326</v>
      </c>
    </row>
    <row r="135" spans="1:14" x14ac:dyDescent="0.3">
      <c r="A135" s="2">
        <v>1057</v>
      </c>
      <c r="B135" s="2" t="s">
        <v>163</v>
      </c>
      <c r="C135" s="2" t="s">
        <v>29</v>
      </c>
      <c r="D135" s="2" t="s">
        <v>41</v>
      </c>
      <c r="E135" s="2" t="s">
        <v>17</v>
      </c>
      <c r="F135" s="2" t="s">
        <v>96</v>
      </c>
      <c r="G135" s="2" t="s">
        <v>19</v>
      </c>
      <c r="H135" s="2" t="s">
        <v>44</v>
      </c>
      <c r="I135" s="2" t="s">
        <v>21</v>
      </c>
      <c r="J135" s="2">
        <v>2</v>
      </c>
      <c r="K135" s="2">
        <v>28612</v>
      </c>
      <c r="L135" s="2">
        <v>0.2</v>
      </c>
      <c r="M135" s="2">
        <v>45779</v>
      </c>
      <c r="N135" s="2">
        <v>7840</v>
      </c>
    </row>
    <row r="136" spans="1:14" x14ac:dyDescent="0.3">
      <c r="A136" s="2">
        <v>1143</v>
      </c>
      <c r="B136" s="2" t="s">
        <v>164</v>
      </c>
      <c r="C136" s="2" t="s">
        <v>22</v>
      </c>
      <c r="D136" s="2" t="s">
        <v>48</v>
      </c>
      <c r="E136" s="2" t="s">
        <v>17</v>
      </c>
      <c r="F136" s="2" t="s">
        <v>18</v>
      </c>
      <c r="G136" s="2" t="s">
        <v>26</v>
      </c>
      <c r="H136" s="2" t="s">
        <v>32</v>
      </c>
      <c r="I136" s="2" t="s">
        <v>33</v>
      </c>
      <c r="J136" s="2">
        <v>6</v>
      </c>
      <c r="K136" s="2">
        <v>48280</v>
      </c>
      <c r="L136" s="2">
        <v>0.05</v>
      </c>
      <c r="M136" s="2">
        <v>275196</v>
      </c>
      <c r="N136" s="2">
        <v>26407</v>
      </c>
    </row>
    <row r="137" spans="1:14" x14ac:dyDescent="0.3">
      <c r="A137" s="2">
        <v>1082</v>
      </c>
      <c r="B137" s="2" t="s">
        <v>165</v>
      </c>
      <c r="C137" s="2" t="s">
        <v>29</v>
      </c>
      <c r="D137" s="2" t="s">
        <v>30</v>
      </c>
      <c r="E137" s="2" t="s">
        <v>42</v>
      </c>
      <c r="F137" s="2" t="s">
        <v>43</v>
      </c>
      <c r="G137" s="2" t="s">
        <v>49</v>
      </c>
      <c r="H137" s="2" t="s">
        <v>27</v>
      </c>
      <c r="I137" s="2" t="s">
        <v>21</v>
      </c>
      <c r="J137" s="2">
        <v>6</v>
      </c>
      <c r="K137" s="2">
        <v>16065</v>
      </c>
      <c r="L137" s="2">
        <v>0</v>
      </c>
      <c r="M137" s="2">
        <v>96390</v>
      </c>
      <c r="N137" s="2">
        <v>17160</v>
      </c>
    </row>
    <row r="138" spans="1:14" x14ac:dyDescent="0.3">
      <c r="A138" s="2">
        <v>1061</v>
      </c>
      <c r="B138" s="2" t="s">
        <v>166</v>
      </c>
      <c r="C138" s="2" t="s">
        <v>35</v>
      </c>
      <c r="D138" s="2" t="s">
        <v>36</v>
      </c>
      <c r="E138" s="2" t="s">
        <v>50</v>
      </c>
      <c r="F138" s="2" t="s">
        <v>51</v>
      </c>
      <c r="G138" s="2" t="s">
        <v>26</v>
      </c>
      <c r="H138" s="2" t="s">
        <v>20</v>
      </c>
      <c r="I138" s="2" t="s">
        <v>21</v>
      </c>
      <c r="J138" s="2">
        <v>5</v>
      </c>
      <c r="K138" s="2">
        <v>1302</v>
      </c>
      <c r="L138" s="2">
        <v>0.1</v>
      </c>
      <c r="M138" s="2">
        <v>5859</v>
      </c>
      <c r="N138" s="2">
        <v>2049</v>
      </c>
    </row>
    <row r="139" spans="1:14" x14ac:dyDescent="0.3">
      <c r="A139" s="2">
        <v>1088</v>
      </c>
      <c r="B139" s="2" t="s">
        <v>167</v>
      </c>
      <c r="C139" s="2" t="s">
        <v>22</v>
      </c>
      <c r="D139" s="2" t="s">
        <v>23</v>
      </c>
      <c r="E139" s="2" t="s">
        <v>50</v>
      </c>
      <c r="F139" s="2" t="s">
        <v>95</v>
      </c>
      <c r="G139" s="2" t="s">
        <v>19</v>
      </c>
      <c r="H139" s="2" t="s">
        <v>52</v>
      </c>
      <c r="I139" s="2" t="s">
        <v>21</v>
      </c>
      <c r="J139" s="2">
        <v>8</v>
      </c>
      <c r="K139" s="2">
        <v>1149</v>
      </c>
      <c r="L139" s="2">
        <v>0</v>
      </c>
      <c r="M139" s="2">
        <v>9192</v>
      </c>
      <c r="N139" s="2">
        <v>1411</v>
      </c>
    </row>
    <row r="140" spans="1:14" x14ac:dyDescent="0.3">
      <c r="A140" s="2">
        <v>1045</v>
      </c>
      <c r="B140" s="2" t="s">
        <v>168</v>
      </c>
      <c r="C140" s="2" t="s">
        <v>22</v>
      </c>
      <c r="D140" s="2" t="s">
        <v>23</v>
      </c>
      <c r="E140" s="2" t="s">
        <v>24</v>
      </c>
      <c r="F140" s="2" t="s">
        <v>37</v>
      </c>
      <c r="G140" s="2" t="s">
        <v>19</v>
      </c>
      <c r="H140" s="2" t="s">
        <v>20</v>
      </c>
      <c r="I140" s="2" t="s">
        <v>33</v>
      </c>
      <c r="J140" s="2">
        <v>1</v>
      </c>
      <c r="K140" s="2">
        <v>850</v>
      </c>
      <c r="L140" s="2">
        <v>0.15</v>
      </c>
      <c r="M140" s="2">
        <v>722</v>
      </c>
      <c r="N140" s="2">
        <v>124</v>
      </c>
    </row>
    <row r="141" spans="1:14" x14ac:dyDescent="0.3">
      <c r="A141" s="2">
        <v>1093</v>
      </c>
      <c r="B141" s="2" t="s">
        <v>169</v>
      </c>
      <c r="C141" s="2" t="s">
        <v>22</v>
      </c>
      <c r="D141" s="2" t="s">
        <v>48</v>
      </c>
      <c r="E141" s="2" t="s">
        <v>42</v>
      </c>
      <c r="F141" s="2" t="s">
        <v>79</v>
      </c>
      <c r="G141" s="2" t="s">
        <v>49</v>
      </c>
      <c r="H141" s="2" t="s">
        <v>44</v>
      </c>
      <c r="I141" s="2" t="s">
        <v>21</v>
      </c>
      <c r="J141" s="2">
        <v>2</v>
      </c>
      <c r="K141" s="2">
        <v>11387</v>
      </c>
      <c r="L141" s="2">
        <v>0.1</v>
      </c>
      <c r="M141" s="2">
        <v>20497</v>
      </c>
      <c r="N141" s="2">
        <v>1965</v>
      </c>
    </row>
    <row r="142" spans="1:14" x14ac:dyDescent="0.3">
      <c r="A142" s="2">
        <v>1069</v>
      </c>
      <c r="B142" s="2" t="s">
        <v>170</v>
      </c>
      <c r="C142" s="2" t="s">
        <v>22</v>
      </c>
      <c r="D142" s="2" t="s">
        <v>48</v>
      </c>
      <c r="E142" s="2" t="s">
        <v>24</v>
      </c>
      <c r="F142" s="2" t="s">
        <v>37</v>
      </c>
      <c r="G142" s="2" t="s">
        <v>19</v>
      </c>
      <c r="H142" s="2" t="s">
        <v>44</v>
      </c>
      <c r="I142" s="2" t="s">
        <v>21</v>
      </c>
      <c r="J142" s="2">
        <v>1</v>
      </c>
      <c r="K142" s="2">
        <v>1624</v>
      </c>
      <c r="L142" s="2">
        <v>0.1</v>
      </c>
      <c r="M142" s="2">
        <v>1462</v>
      </c>
      <c r="N142" s="2">
        <v>453</v>
      </c>
    </row>
    <row r="143" spans="1:14" x14ac:dyDescent="0.3">
      <c r="A143" s="2">
        <v>1089</v>
      </c>
      <c r="B143" s="2" t="s">
        <v>170</v>
      </c>
      <c r="C143" s="2" t="s">
        <v>22</v>
      </c>
      <c r="D143" s="2" t="s">
        <v>63</v>
      </c>
      <c r="E143" s="2" t="s">
        <v>42</v>
      </c>
      <c r="F143" s="2" t="s">
        <v>43</v>
      </c>
      <c r="G143" s="2" t="s">
        <v>49</v>
      </c>
      <c r="H143" s="2" t="s">
        <v>27</v>
      </c>
      <c r="I143" s="2" t="s">
        <v>39</v>
      </c>
      <c r="J143" s="2">
        <v>1</v>
      </c>
      <c r="K143" s="2">
        <v>9698</v>
      </c>
      <c r="L143" s="2">
        <v>0.2</v>
      </c>
      <c r="M143" s="2">
        <v>7758</v>
      </c>
      <c r="N143" s="2">
        <v>707</v>
      </c>
    </row>
    <row r="144" spans="1:14" x14ac:dyDescent="0.3">
      <c r="A144" s="2">
        <v>1120</v>
      </c>
      <c r="B144" s="2" t="s">
        <v>171</v>
      </c>
      <c r="C144" s="2" t="s">
        <v>15</v>
      </c>
      <c r="D144" s="2" t="s">
        <v>16</v>
      </c>
      <c r="E144" s="2" t="s">
        <v>17</v>
      </c>
      <c r="F144" s="2" t="s">
        <v>96</v>
      </c>
      <c r="G144" s="2" t="s">
        <v>49</v>
      </c>
      <c r="H144" s="2" t="s">
        <v>20</v>
      </c>
      <c r="I144" s="2" t="s">
        <v>33</v>
      </c>
      <c r="J144" s="2">
        <v>8</v>
      </c>
      <c r="K144" s="2">
        <v>52571</v>
      </c>
      <c r="L144" s="2">
        <v>0.2</v>
      </c>
      <c r="M144" s="2">
        <v>336454</v>
      </c>
      <c r="N144" s="2">
        <v>95579</v>
      </c>
    </row>
    <row r="145" spans="1:14" x14ac:dyDescent="0.3">
      <c r="A145" s="2">
        <v>1142</v>
      </c>
      <c r="B145" s="2" t="s">
        <v>171</v>
      </c>
      <c r="C145" s="2" t="s">
        <v>29</v>
      </c>
      <c r="D145" s="2" t="s">
        <v>30</v>
      </c>
      <c r="E145" s="2" t="s">
        <v>24</v>
      </c>
      <c r="F145" s="2" t="s">
        <v>37</v>
      </c>
      <c r="G145" s="2" t="s">
        <v>26</v>
      </c>
      <c r="H145" s="2" t="s">
        <v>20</v>
      </c>
      <c r="I145" s="2" t="s">
        <v>21</v>
      </c>
      <c r="J145" s="2">
        <v>1</v>
      </c>
      <c r="K145" s="2">
        <v>1972</v>
      </c>
      <c r="L145" s="2">
        <v>0</v>
      </c>
      <c r="M145" s="2">
        <v>1972</v>
      </c>
      <c r="N145" s="2">
        <v>494</v>
      </c>
    </row>
    <row r="146" spans="1:14" x14ac:dyDescent="0.3">
      <c r="A146" s="2">
        <v>1033</v>
      </c>
      <c r="B146" s="2" t="s">
        <v>172</v>
      </c>
      <c r="C146" s="2" t="s">
        <v>29</v>
      </c>
      <c r="D146" s="2" t="s">
        <v>82</v>
      </c>
      <c r="E146" s="2" t="s">
        <v>42</v>
      </c>
      <c r="F146" s="2" t="s">
        <v>60</v>
      </c>
      <c r="G146" s="2" t="s">
        <v>19</v>
      </c>
      <c r="H146" s="2" t="s">
        <v>38</v>
      </c>
      <c r="I146" s="2" t="s">
        <v>21</v>
      </c>
      <c r="J146" s="2">
        <v>8</v>
      </c>
      <c r="K146" s="2">
        <v>18225</v>
      </c>
      <c r="L146" s="2">
        <v>0.1</v>
      </c>
      <c r="M146" s="2">
        <v>131220</v>
      </c>
      <c r="N146" s="2">
        <v>19052</v>
      </c>
    </row>
    <row r="147" spans="1:14" x14ac:dyDescent="0.3">
      <c r="A147" s="2">
        <v>1096</v>
      </c>
      <c r="B147" s="2" t="s">
        <v>172</v>
      </c>
      <c r="C147" s="2" t="s">
        <v>29</v>
      </c>
      <c r="D147" s="2" t="s">
        <v>41</v>
      </c>
      <c r="E147" s="2" t="s">
        <v>17</v>
      </c>
      <c r="F147" s="2" t="s">
        <v>96</v>
      </c>
      <c r="G147" s="2" t="s">
        <v>19</v>
      </c>
      <c r="H147" s="2" t="s">
        <v>27</v>
      </c>
      <c r="I147" s="2" t="s">
        <v>39</v>
      </c>
      <c r="J147" s="2">
        <v>4</v>
      </c>
      <c r="K147" s="2">
        <v>29071</v>
      </c>
      <c r="L147" s="2">
        <v>0</v>
      </c>
      <c r="M147" s="2">
        <v>116284</v>
      </c>
      <c r="N147" s="2">
        <v>39225</v>
      </c>
    </row>
    <row r="148" spans="1:14" x14ac:dyDescent="0.3">
      <c r="A148" s="2">
        <v>1126</v>
      </c>
      <c r="B148" s="2" t="s">
        <v>172</v>
      </c>
      <c r="C148" s="2" t="s">
        <v>15</v>
      </c>
      <c r="D148" s="2" t="s">
        <v>66</v>
      </c>
      <c r="E148" s="2" t="s">
        <v>24</v>
      </c>
      <c r="F148" s="2" t="s">
        <v>37</v>
      </c>
      <c r="G148" s="2" t="s">
        <v>49</v>
      </c>
      <c r="H148" s="2" t="s">
        <v>44</v>
      </c>
      <c r="I148" s="2" t="s">
        <v>33</v>
      </c>
      <c r="J148" s="2">
        <v>4</v>
      </c>
      <c r="K148" s="2">
        <v>2540</v>
      </c>
      <c r="L148" s="2">
        <v>0.05</v>
      </c>
      <c r="M148" s="2">
        <v>9652</v>
      </c>
      <c r="N148" s="2">
        <v>1927</v>
      </c>
    </row>
    <row r="149" spans="1:14" x14ac:dyDescent="0.3">
      <c r="A149" s="2">
        <v>1094</v>
      </c>
      <c r="B149" s="2" t="s">
        <v>173</v>
      </c>
      <c r="C149" s="2" t="s">
        <v>29</v>
      </c>
      <c r="D149" s="2" t="s">
        <v>41</v>
      </c>
      <c r="E149" s="2" t="s">
        <v>50</v>
      </c>
      <c r="F149" s="2" t="s">
        <v>51</v>
      </c>
      <c r="G149" s="2" t="s">
        <v>49</v>
      </c>
      <c r="H149" s="2" t="s">
        <v>32</v>
      </c>
      <c r="I149" s="2" t="s">
        <v>33</v>
      </c>
      <c r="J149" s="2">
        <v>6</v>
      </c>
      <c r="K149" s="2">
        <v>1060</v>
      </c>
      <c r="L149" s="2">
        <v>0.05</v>
      </c>
      <c r="M149" s="2">
        <v>6042</v>
      </c>
      <c r="N149" s="2">
        <v>1447</v>
      </c>
    </row>
    <row r="150" spans="1:14" x14ac:dyDescent="0.3">
      <c r="A150" s="2">
        <v>1100</v>
      </c>
      <c r="B150" s="2" t="s">
        <v>174</v>
      </c>
      <c r="C150" s="2" t="s">
        <v>22</v>
      </c>
      <c r="D150" s="2" t="s">
        <v>63</v>
      </c>
      <c r="E150" s="2" t="s">
        <v>24</v>
      </c>
      <c r="F150" s="2" t="s">
        <v>37</v>
      </c>
      <c r="G150" s="2" t="s">
        <v>49</v>
      </c>
      <c r="H150" s="2" t="s">
        <v>27</v>
      </c>
      <c r="I150" s="2" t="s">
        <v>21</v>
      </c>
      <c r="J150" s="2">
        <v>3</v>
      </c>
      <c r="K150" s="2">
        <v>2491</v>
      </c>
      <c r="L150" s="2">
        <v>0</v>
      </c>
      <c r="M150" s="2">
        <v>7473</v>
      </c>
      <c r="N150" s="2">
        <v>2615</v>
      </c>
    </row>
    <row r="151" spans="1:14" x14ac:dyDescent="0.3">
      <c r="A151" s="2">
        <v>1133</v>
      </c>
      <c r="B151" s="2" t="s">
        <v>174</v>
      </c>
      <c r="C151" s="2" t="s">
        <v>22</v>
      </c>
      <c r="D151" s="2" t="s">
        <v>23</v>
      </c>
      <c r="E151" s="2" t="s">
        <v>42</v>
      </c>
      <c r="F151" s="2" t="s">
        <v>43</v>
      </c>
      <c r="G151" s="2" t="s">
        <v>19</v>
      </c>
      <c r="H151" s="2" t="s">
        <v>27</v>
      </c>
      <c r="I151" s="2" t="s">
        <v>33</v>
      </c>
      <c r="J151" s="2">
        <v>4</v>
      </c>
      <c r="K151" s="2">
        <v>19443</v>
      </c>
      <c r="L151" s="2">
        <v>0.15</v>
      </c>
      <c r="M151" s="2">
        <v>66106</v>
      </c>
      <c r="N151" s="2">
        <v>6044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Superstore 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2026-09-22T06:38:53Z</dcterms:created>
  <dcterms:modified xsi:type="dcterms:W3CDTF">2026-09-23T16:47:42Z</dcterms:modified>
</cp:coreProperties>
</file>